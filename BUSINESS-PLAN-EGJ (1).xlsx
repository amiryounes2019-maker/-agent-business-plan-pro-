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odeName="ThisWorkbook" defaultThemeVersion="124226"/>
  <mc:AlternateContent xmlns:mc="http://schemas.openxmlformats.org/markup-compatibility/2006">
    <mc:Choice Requires="x15">
      <x15ac:absPath xmlns:x15ac="http://schemas.microsoft.com/office/spreadsheetml/2010/11/ac" url="https://c90635759-my.sharepoint.com/personal/admin_c90635759_onmicrosoft_com/Documents/CABINET KOMPTA EXPERTS/DOSSIERS CLIENTS/EGJ TP STAR/"/>
    </mc:Choice>
  </mc:AlternateContent>
  <xr:revisionPtr revIDLastSave="0" documentId="10_ncr:20000_{731DCEC9-361B-47E3-9D3B-DDB0280C6D98}" xr6:coauthVersionLast="47" xr6:coauthVersionMax="47" xr10:uidLastSave="{00000000-0000-0000-0000-000000000000}"/>
  <bookViews>
    <workbookView xWindow="-108" yWindow="-108" windowWidth="23256" windowHeight="12456" tabRatio="730" firstSheet="1" activeTab="2" xr2:uid="{00000000-000D-0000-FFFF-FFFF00000000}"/>
  </bookViews>
  <sheets>
    <sheet name="Guide d'utilisation" sheetId="12" r:id="rId1"/>
    <sheet name="Données à saisir" sheetId="1" r:id="rId2"/>
    <sheet name="Plan financier à imprimer" sheetId="2" r:id="rId3"/>
    <sheet name="Amortissement des immos" sheetId="9" r:id="rId4"/>
    <sheet name="Chiffres d'affaires " sheetId="3" r:id="rId5"/>
    <sheet name="Achats consommés " sheetId="4" r:id="rId6"/>
    <sheet name="Charges de personnel " sheetId="5" r:id="rId7"/>
    <sheet name="Amortissement de prêt " sheetId="8" r:id="rId8"/>
    <sheet name="Impots et taxes " sheetId="6" r:id="rId9"/>
    <sheet name="VAN" sheetId="10" r:id="rId10"/>
    <sheet name="indicateurs " sheetId="11" r:id="rId11"/>
  </sheets>
  <definedNames>
    <definedName name="AMORTISSEMENT_EMPRUNT">IF(Values_Entered,Header_Row+Number_of_Payments,Header_Row)</definedName>
    <definedName name="annee">#REF!</definedName>
    <definedName name="Beg_Bal">#REF!</definedName>
    <definedName name="bp">#REF!</definedName>
    <definedName name="coutassurance">#REF!</definedName>
    <definedName name="coutinterets">#REF!</definedName>
    <definedName name="couttotal">#REF!</definedName>
    <definedName name="dureepret">#REF!</definedName>
    <definedName name="End_Bal">#REF!</definedName>
    <definedName name="Extra_Pay">#REF!</definedName>
    <definedName name="Header_Row">ROW(#REF!)</definedName>
    <definedName name="Int">#REF!</definedName>
    <definedName name="Interest_Rate">#REF!</definedName>
    <definedName name="Last_Row">IF(Values_Entered,Header_Row+Number_of_Payments,Header_Row)</definedName>
    <definedName name="Loan_Amount">#REF!</definedName>
    <definedName name="Loan_Start">#REF!</definedName>
    <definedName name="Loan_Years">#REF!</definedName>
    <definedName name="mensualiteassurance">#REF!</definedName>
    <definedName name="mensualitehorsassurance">#REF!</definedName>
    <definedName name="mensualitetotale">#REF!</definedName>
    <definedName name="mois">#REF!</definedName>
    <definedName name="Num_Pmt_Per_Year">#REF!</definedName>
    <definedName name="Number_of_Payments">MATCH(0.01,End_Bal,-1)+1</definedName>
    <definedName name="Pay_Num">#REF!</definedName>
    <definedName name="pret">#REF!</definedName>
    <definedName name="Princ">#REF!</definedName>
    <definedName name="Sched_Pay">#REF!</definedName>
    <definedName name="Scheduled_Extra_Payments">#REF!</definedName>
    <definedName name="Scheduled_Monthly_Payment">#REF!</definedName>
    <definedName name="tauxassurance">#REF!</definedName>
    <definedName name="tauxinteret">#REF!</definedName>
    <definedName name="test">#REF!</definedName>
    <definedName name="Total_Pay">#REF!</definedName>
    <definedName name="Values_Entered">IF(Loan_Amount*Interest_Rate*Loan_Years*Loan_Start&gt;0,1,0)</definedName>
    <definedName name="Z_B839855F_4AE2_4622_A0C0_EA9798C0F78E_.wvu.Cols" localSheetId="1" hidden="1">'Données à saisir'!$J:$XFD</definedName>
    <definedName name="Z_B839855F_4AE2_4622_A0C0_EA9798C0F78E_.wvu.PrintArea" localSheetId="2" hidden="1">'Plan financier à imprimer'!$A$1:$CQ$49</definedName>
    <definedName name="Z_B839855F_4AE2_4622_A0C0_EA9798C0F78E_.wvu.Rows" localSheetId="1" hidden="1">'Données à saisir'!$199:$1048576,'Données à saisir'!$39:$56,'Données à saisir'!$69:$73,'Données à saisir'!$141:$151,'Données à saisir'!$198:$198</definedName>
    <definedName name="Z_B839855F_4AE2_4622_A0C0_EA9798C0F78E_.wvu.Rows" localSheetId="2" hidden="1">'Plan financier à imprimer'!$52:$52</definedName>
    <definedName name="_xlnm.Print_Area" localSheetId="5">'Achats consommés '!$B$1:$G$18</definedName>
    <definedName name="_xlnm.Print_Area" localSheetId="3">'Amortissement des immos'!$B$3:$G$21</definedName>
    <definedName name="_xlnm.Print_Area" localSheetId="6">'Charges de personnel '!$B$1:$K$26</definedName>
    <definedName name="_xlnm.Print_Area" localSheetId="4">'Chiffres d''affaires '!$B$2:$G$19</definedName>
    <definedName name="_xlnm.Print_Area" localSheetId="0">'Guide d''utilisation'!$C$2:$J$35</definedName>
    <definedName name="_xlnm.Print_Area" localSheetId="8">'Impots et taxes '!$B$1:$B$6</definedName>
    <definedName name="_xlnm.Print_Area" localSheetId="2">'Plan financier à imprimer'!$A$1:$CQ$49</definedName>
    <definedName name="_xlnm.Print_Area" localSheetId="9">VAN!$B$1:$G$24</definedName>
  </definedNames>
  <calcPr calcId="191029"/>
  <customWorkbookViews>
    <customWorkbookView name="Moi - Affichage personnalisé" guid="{B839855F-4AE2-4622-A0C0-EA9798C0F78E}" mergeInterval="0" personalView="1" maximized="1" xWindow="1" yWindow="1" windowWidth="1920" windowHeight="749" tabRatio="730" activeSheetId="1"/>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40" i="2" l="1"/>
  <c r="CK26" i="2"/>
  <c r="CL26" i="2" s="1"/>
  <c r="CM26" i="2" s="1"/>
  <c r="CN26" i="2" s="1"/>
  <c r="CO26" i="2" s="1"/>
  <c r="CJ26" i="2"/>
  <c r="CF26" i="2"/>
  <c r="CI26" i="2" s="1"/>
  <c r="CC26" i="2"/>
  <c r="D78" i="1"/>
  <c r="E78" i="1"/>
  <c r="F78" i="1"/>
  <c r="AK18" i="2" s="1"/>
  <c r="C78" i="1"/>
  <c r="D83" i="1"/>
  <c r="E83" i="1"/>
  <c r="F83" i="1"/>
  <c r="AK23" i="2" s="1"/>
  <c r="C83" i="1"/>
  <c r="D86" i="1"/>
  <c r="E86" i="1"/>
  <c r="F86" i="1"/>
  <c r="AK26" i="2" s="1"/>
  <c r="C86" i="1"/>
  <c r="C80" i="1"/>
  <c r="AH20" i="2" s="1"/>
  <c r="AG20" i="2"/>
  <c r="D18" i="9"/>
  <c r="K25" i="5"/>
  <c r="G25" i="5"/>
  <c r="H24" i="5"/>
  <c r="H25" i="5" s="1"/>
  <c r="I24" i="5"/>
  <c r="I25" i="5" s="1"/>
  <c r="J24" i="5"/>
  <c r="J25" i="5" s="1"/>
  <c r="K24" i="5"/>
  <c r="AG12" i="2"/>
  <c r="D91" i="1"/>
  <c r="E91" i="1"/>
  <c r="F91" i="1" s="1"/>
  <c r="AK42" i="2" s="1"/>
  <c r="AY24" i="2" s="1"/>
  <c r="AY25" i="2" s="1"/>
  <c r="C91" i="1"/>
  <c r="D90" i="1"/>
  <c r="E90" i="1" s="1"/>
  <c r="C90" i="1"/>
  <c r="D89" i="1"/>
  <c r="E89" i="1" s="1"/>
  <c r="C89" i="1"/>
  <c r="AJ18" i="2"/>
  <c r="AJ19" i="2"/>
  <c r="AJ21" i="2"/>
  <c r="AJ22" i="2"/>
  <c r="AJ23" i="2"/>
  <c r="AJ24" i="2"/>
  <c r="AJ25" i="2"/>
  <c r="AJ26" i="2"/>
  <c r="AJ27" i="2"/>
  <c r="AJ28" i="2"/>
  <c r="AJ31" i="2"/>
  <c r="AJ32" i="2"/>
  <c r="AJ33" i="2"/>
  <c r="AJ36" i="2"/>
  <c r="AW19" i="2" s="1"/>
  <c r="AJ38" i="2"/>
  <c r="AJ39" i="2"/>
  <c r="AJ40" i="2"/>
  <c r="AJ43" i="2"/>
  <c r="AK19" i="2"/>
  <c r="AK21" i="2"/>
  <c r="AK22" i="2"/>
  <c r="AK24" i="2"/>
  <c r="AK25" i="2"/>
  <c r="AK27" i="2"/>
  <c r="AK28" i="2"/>
  <c r="AK31" i="2"/>
  <c r="AK32" i="2"/>
  <c r="AK33" i="2"/>
  <c r="AK36" i="2"/>
  <c r="AY19" i="2" s="1"/>
  <c r="AK38" i="2"/>
  <c r="AK39" i="2"/>
  <c r="AK40" i="2"/>
  <c r="AK43" i="2"/>
  <c r="AY22" i="2" s="1"/>
  <c r="AY43" i="2" s="1"/>
  <c r="AW22" i="2"/>
  <c r="AW43" i="2" s="1"/>
  <c r="I42" i="8"/>
  <c r="AS45" i="2" s="1"/>
  <c r="Q29" i="8"/>
  <c r="Q28" i="2"/>
  <c r="M99" i="8"/>
  <c r="M86" i="8"/>
  <c r="D16" i="9"/>
  <c r="D105" i="1"/>
  <c r="D106" i="1"/>
  <c r="D107" i="1"/>
  <c r="D108" i="1"/>
  <c r="D109" i="1"/>
  <c r="D110" i="1"/>
  <c r="D111" i="1"/>
  <c r="D112" i="1"/>
  <c r="D113" i="1"/>
  <c r="D114" i="1"/>
  <c r="D115" i="1"/>
  <c r="B136" i="1"/>
  <c r="F24" i="5"/>
  <c r="E24" i="5"/>
  <c r="F79" i="1"/>
  <c r="E79" i="1"/>
  <c r="D79" i="1"/>
  <c r="C79" i="1"/>
  <c r="B79" i="1"/>
  <c r="G16" i="5"/>
  <c r="G17" i="5"/>
  <c r="G19" i="5"/>
  <c r="D80" i="1" l="1"/>
  <c r="E80" i="1" s="1"/>
  <c r="AJ42" i="2"/>
  <c r="AW24" i="2" s="1"/>
  <c r="AW25" i="2" s="1"/>
  <c r="AJ30" i="2"/>
  <c r="F90" i="1"/>
  <c r="AK30" i="2" s="1"/>
  <c r="F89" i="1"/>
  <c r="AK29" i="2" s="1"/>
  <c r="AJ29" i="2"/>
  <c r="I54" i="8"/>
  <c r="C14" i="3"/>
  <c r="G19" i="3" s="1"/>
  <c r="C12" i="4"/>
  <c r="AJ20" i="2" l="1"/>
  <c r="AJ17" i="2" s="1"/>
  <c r="AW17" i="2" s="1"/>
  <c r="F80" i="1"/>
  <c r="AK20" i="2" s="1"/>
  <c r="AK17" i="2" s="1"/>
  <c r="AY17" i="2" s="1"/>
  <c r="I66" i="8"/>
  <c r="AW45" i="2" s="1"/>
  <c r="AU45" i="2"/>
  <c r="B116" i="1"/>
  <c r="I78" i="8" l="1"/>
  <c r="AY45" i="2" s="1"/>
  <c r="G14" i="10"/>
  <c r="F14" i="10"/>
  <c r="E14" i="10"/>
  <c r="D14" i="10"/>
  <c r="C14" i="10"/>
  <c r="D11" i="10"/>
  <c r="E11" i="10" s="1"/>
  <c r="F11" i="10" s="1"/>
  <c r="G11" i="10" s="1"/>
  <c r="CD26" i="2" l="1"/>
  <c r="CB26" i="2"/>
  <c r="CE26" i="2" s="1"/>
  <c r="C28" i="2"/>
  <c r="G16" i="9"/>
  <c r="X46" i="2" s="1"/>
  <c r="Y46" i="2" s="1"/>
  <c r="Z46" i="2" s="1"/>
  <c r="G18" i="9"/>
  <c r="X45" i="2" s="1"/>
  <c r="Y45" i="2" s="1"/>
  <c r="Z45" i="2" s="1"/>
  <c r="D14" i="9"/>
  <c r="AI42" i="2"/>
  <c r="AH42" i="2"/>
  <c r="AG42" i="2"/>
  <c r="AQ45" i="2"/>
  <c r="G14" i="9" l="1"/>
  <c r="D20" i="9"/>
  <c r="G23" i="5"/>
  <c r="G22" i="5"/>
  <c r="G21" i="5"/>
  <c r="F19" i="3"/>
  <c r="F147" i="1"/>
  <c r="E147" i="1"/>
  <c r="D147" i="1"/>
  <c r="C146" i="1"/>
  <c r="B147" i="1"/>
  <c r="F146" i="1"/>
  <c r="E146" i="1"/>
  <c r="D146" i="1"/>
  <c r="C145" i="1"/>
  <c r="B146" i="1"/>
  <c r="X43" i="2" l="1"/>
  <c r="F20" i="9"/>
  <c r="D19" i="3"/>
  <c r="C19" i="3"/>
  <c r="E19" i="3"/>
  <c r="L146" i="1"/>
  <c r="M146" i="1"/>
  <c r="L147" i="1"/>
  <c r="M147" i="1"/>
  <c r="K148" i="1"/>
  <c r="K149" i="1"/>
  <c r="K147" i="1"/>
  <c r="J147" i="1"/>
  <c r="K146" i="1"/>
  <c r="J146" i="1"/>
  <c r="L148" i="1"/>
  <c r="M148" i="1"/>
  <c r="L149" i="1"/>
  <c r="M149" i="1"/>
  <c r="E148" i="1"/>
  <c r="F148" i="1"/>
  <c r="E149" i="1"/>
  <c r="E150" i="1" s="1"/>
  <c r="F149" i="1"/>
  <c r="F150" i="1"/>
  <c r="P73" i="1"/>
  <c r="O73" i="1"/>
  <c r="K73" i="1"/>
  <c r="J73" i="1"/>
  <c r="F98" i="1"/>
  <c r="E98" i="1"/>
  <c r="M150" i="1" l="1"/>
  <c r="K150" i="1"/>
  <c r="Z43" i="2"/>
  <c r="Y43" i="2"/>
  <c r="H26" i="5"/>
  <c r="C136" i="1"/>
  <c r="L150" i="1"/>
  <c r="G26" i="5"/>
  <c r="I26" i="5" l="1"/>
  <c r="D136" i="1"/>
  <c r="D142" i="1" s="1"/>
  <c r="I149" i="1"/>
  <c r="I148" i="1"/>
  <c r="J142" i="1"/>
  <c r="I142" i="1"/>
  <c r="C141" i="1"/>
  <c r="B142" i="1"/>
  <c r="K142" i="1" l="1"/>
  <c r="J26" i="5"/>
  <c r="E136" i="1"/>
  <c r="AJ37" i="2" s="1"/>
  <c r="AW20" i="2" s="1"/>
  <c r="K26" i="5"/>
  <c r="F136" i="1"/>
  <c r="AK37" i="2" s="1"/>
  <c r="AY20" i="2" s="1"/>
  <c r="Q38" i="2"/>
  <c r="F142" i="1" l="1"/>
  <c r="M142" i="1"/>
  <c r="L142" i="1"/>
  <c r="E142" i="1"/>
  <c r="J149" i="1"/>
  <c r="J148" i="1"/>
  <c r="C148" i="1"/>
  <c r="D149" i="1"/>
  <c r="B149" i="1"/>
  <c r="C147" i="1"/>
  <c r="D148" i="1"/>
  <c r="B148" i="1"/>
  <c r="B40" i="1"/>
  <c r="D72" i="1"/>
  <c r="D73" i="1"/>
  <c r="L73" i="1" s="1"/>
  <c r="B72" i="1"/>
  <c r="C72" i="1" s="1"/>
  <c r="B73" i="1"/>
  <c r="C73" i="1" s="1"/>
  <c r="D71" i="1"/>
  <c r="B71" i="1"/>
  <c r="K46" i="2"/>
  <c r="K45" i="2"/>
  <c r="K44" i="2"/>
  <c r="K43" i="2"/>
  <c r="K42" i="2"/>
  <c r="K41" i="2"/>
  <c r="AC33" i="2"/>
  <c r="AC32" i="2"/>
  <c r="AC31" i="2"/>
  <c r="AC45" i="2"/>
  <c r="AI33" i="2"/>
  <c r="AH33" i="2"/>
  <c r="AG33" i="2"/>
  <c r="AI32" i="2"/>
  <c r="AH32" i="2"/>
  <c r="AG32" i="2"/>
  <c r="AI31" i="2"/>
  <c r="AH31" i="2"/>
  <c r="AG31" i="2"/>
  <c r="AI30" i="2"/>
  <c r="AH30" i="2"/>
  <c r="AG30" i="2"/>
  <c r="AI29" i="2"/>
  <c r="AH29" i="2"/>
  <c r="AG29" i="2"/>
  <c r="AI28" i="2"/>
  <c r="AH28" i="2"/>
  <c r="AG28" i="2"/>
  <c r="AI27" i="2"/>
  <c r="AH27" i="2"/>
  <c r="AG27" i="2"/>
  <c r="AI26" i="2"/>
  <c r="AH26" i="2"/>
  <c r="AG26" i="2"/>
  <c r="AI25" i="2"/>
  <c r="AH25" i="2"/>
  <c r="AG25" i="2"/>
  <c r="AI24" i="2"/>
  <c r="AH24" i="2"/>
  <c r="AG24" i="2"/>
  <c r="AI23" i="2"/>
  <c r="AH23" i="2"/>
  <c r="AG23" i="2"/>
  <c r="AI22" i="2"/>
  <c r="AH22" i="2"/>
  <c r="AG22" i="2"/>
  <c r="AI21" i="2"/>
  <c r="AH21" i="2"/>
  <c r="AG21" i="2"/>
  <c r="AI20" i="2"/>
  <c r="AI19" i="2"/>
  <c r="AH19" i="2"/>
  <c r="AG19" i="2"/>
  <c r="AI18" i="2"/>
  <c r="AH18" i="2"/>
  <c r="AG18" i="2"/>
  <c r="Q39" i="2"/>
  <c r="Q37" i="2" s="1"/>
  <c r="BR19" i="2" s="1"/>
  <c r="CB15" i="2" s="1"/>
  <c r="Q43" i="2"/>
  <c r="Q42" i="2"/>
  <c r="Q41" i="2"/>
  <c r="Q45" i="2"/>
  <c r="Q44" i="2"/>
  <c r="AI36" i="2"/>
  <c r="AU19" i="2" s="1"/>
  <c r="AH36" i="2"/>
  <c r="AS19" i="2" s="1"/>
  <c r="AG36" i="2"/>
  <c r="CO29" i="2" s="1"/>
  <c r="CH41" i="2"/>
  <c r="CG41" i="2"/>
  <c r="CK7" i="2"/>
  <c r="CA7" i="2"/>
  <c r="BY35" i="2"/>
  <c r="BY33" i="2"/>
  <c r="BY32" i="2"/>
  <c r="BY31" i="2"/>
  <c r="BY30" i="2"/>
  <c r="BY29" i="2"/>
  <c r="CK6" i="2"/>
  <c r="CA6" i="2"/>
  <c r="BP7" i="2"/>
  <c r="BP6" i="2"/>
  <c r="BF38" i="2"/>
  <c r="BF36" i="2"/>
  <c r="BE7" i="2"/>
  <c r="BE6" i="2"/>
  <c r="N73" i="1"/>
  <c r="B55" i="1"/>
  <c r="C55" i="1" s="1"/>
  <c r="A55" i="1"/>
  <c r="B54" i="1"/>
  <c r="C54" i="1" s="1"/>
  <c r="A54" i="1"/>
  <c r="B53" i="1"/>
  <c r="C53" i="1" s="1"/>
  <c r="A53" i="1"/>
  <c r="B52" i="1"/>
  <c r="C52" i="1" s="1"/>
  <c r="A52" i="1"/>
  <c r="B51" i="1"/>
  <c r="C51" i="1" s="1"/>
  <c r="A51" i="1"/>
  <c r="B50" i="1"/>
  <c r="C50" i="1" s="1"/>
  <c r="A50" i="1"/>
  <c r="B49" i="1"/>
  <c r="C49" i="1" s="1"/>
  <c r="A49" i="1"/>
  <c r="B45" i="1"/>
  <c r="C45" i="1" s="1"/>
  <c r="A45" i="1"/>
  <c r="B43" i="1"/>
  <c r="C43" i="1" s="1"/>
  <c r="A43" i="1"/>
  <c r="B41" i="1"/>
  <c r="C41" i="1" s="1"/>
  <c r="A41" i="1"/>
  <c r="Q13" i="2"/>
  <c r="K13" i="2"/>
  <c r="T33" i="2" s="1"/>
  <c r="Z19" i="2"/>
  <c r="Y19" i="2"/>
  <c r="Y21" i="2" s="1"/>
  <c r="AH38" i="2" s="1"/>
  <c r="X19" i="2"/>
  <c r="X21" i="2" s="1"/>
  <c r="AG38" i="2" s="1"/>
  <c r="Z15" i="2"/>
  <c r="Z17" i="2" s="1"/>
  <c r="Y15" i="2"/>
  <c r="X15" i="2"/>
  <c r="X17" i="2" s="1"/>
  <c r="V7" i="2"/>
  <c r="V6" i="2"/>
  <c r="O43" i="2"/>
  <c r="O42" i="2"/>
  <c r="O41" i="2"/>
  <c r="N43" i="2"/>
  <c r="N42" i="2"/>
  <c r="N41" i="2"/>
  <c r="AP7" i="2"/>
  <c r="AP6" i="2"/>
  <c r="I115" i="1"/>
  <c r="CO20" i="2" s="1"/>
  <c r="I114" i="1"/>
  <c r="CN20" i="2" s="1"/>
  <c r="I113" i="1"/>
  <c r="CM20" i="2" s="1"/>
  <c r="I112" i="1"/>
  <c r="CL20" i="2" s="1"/>
  <c r="I111" i="1"/>
  <c r="CK20" i="2" s="1"/>
  <c r="I110" i="1"/>
  <c r="CJ20" i="2" s="1"/>
  <c r="I109" i="1"/>
  <c r="CI20" i="2" s="1"/>
  <c r="I108" i="1"/>
  <c r="CF20" i="2" s="1"/>
  <c r="I107" i="1"/>
  <c r="CE20" i="2" s="1"/>
  <c r="I106" i="1"/>
  <c r="CD20" i="2" s="1"/>
  <c r="I105" i="1"/>
  <c r="CC20" i="2" s="1"/>
  <c r="CB20" i="2"/>
  <c r="AI39" i="2"/>
  <c r="AH39" i="2"/>
  <c r="AG39" i="2"/>
  <c r="CO32" i="2" s="1"/>
  <c r="AI37" i="2"/>
  <c r="AH37" i="2"/>
  <c r="AG37" i="2"/>
  <c r="CN30" i="2" s="1"/>
  <c r="CO19" i="2"/>
  <c r="CN19" i="2"/>
  <c r="CN27" i="2" s="1"/>
  <c r="CM19" i="2"/>
  <c r="CL19" i="2"/>
  <c r="CL27" i="2" s="1"/>
  <c r="CK19" i="2"/>
  <c r="CJ19" i="2"/>
  <c r="CI19" i="2"/>
  <c r="CF19" i="2"/>
  <c r="CE19" i="2"/>
  <c r="CD19" i="2"/>
  <c r="CC19" i="2"/>
  <c r="D104" i="1"/>
  <c r="CB19" i="2" s="1"/>
  <c r="CB27" i="2" s="1"/>
  <c r="M73" i="1"/>
  <c r="H73" i="1"/>
  <c r="I73" i="1"/>
  <c r="AC30" i="2"/>
  <c r="AC29" i="2"/>
  <c r="AC28" i="2"/>
  <c r="AC27" i="2"/>
  <c r="AC26" i="2"/>
  <c r="AC25" i="2"/>
  <c r="AC24" i="2"/>
  <c r="AC23" i="2"/>
  <c r="AC22" i="2"/>
  <c r="AC21" i="2"/>
  <c r="AC20" i="2"/>
  <c r="AC19" i="2"/>
  <c r="AC18" i="2"/>
  <c r="AE7" i="2"/>
  <c r="AE6" i="2"/>
  <c r="M7" i="2"/>
  <c r="M6" i="2"/>
  <c r="Q46" i="2"/>
  <c r="BR22" i="2" s="1"/>
  <c r="CB18" i="2" s="1"/>
  <c r="CP18" i="2" s="1"/>
  <c r="K39" i="2"/>
  <c r="K38" i="2"/>
  <c r="Q31" i="2"/>
  <c r="BQ28" i="2" s="1"/>
  <c r="K31" i="2"/>
  <c r="Q30" i="2"/>
  <c r="Q27" i="2"/>
  <c r="Q26" i="2"/>
  <c r="Q25" i="2"/>
  <c r="Q24" i="2"/>
  <c r="Q22" i="2"/>
  <c r="Q21" i="2"/>
  <c r="Q20" i="2"/>
  <c r="Q19" i="2"/>
  <c r="Q18" i="2"/>
  <c r="Q17" i="2"/>
  <c r="Q16" i="2"/>
  <c r="Q15" i="2"/>
  <c r="Q14" i="2"/>
  <c r="K30" i="2"/>
  <c r="K28" i="2"/>
  <c r="T46" i="2" s="1"/>
  <c r="K27" i="2"/>
  <c r="T45" i="2" s="1"/>
  <c r="K26" i="2"/>
  <c r="T44" i="2" s="1"/>
  <c r="K25" i="2"/>
  <c r="T43" i="2" s="1"/>
  <c r="K24" i="2"/>
  <c r="T42" i="2" s="1"/>
  <c r="K22" i="2"/>
  <c r="T37" i="2" s="1"/>
  <c r="K21" i="2"/>
  <c r="T36" i="2" s="1"/>
  <c r="K20" i="2"/>
  <c r="K19" i="2"/>
  <c r="K18" i="2"/>
  <c r="K17" i="2"/>
  <c r="T35" i="2" s="1"/>
  <c r="K16" i="2"/>
  <c r="K15" i="2"/>
  <c r="T34" i="2" s="1"/>
  <c r="K14" i="2"/>
  <c r="C44" i="2"/>
  <c r="C43" i="2"/>
  <c r="C42" i="2"/>
  <c r="C33" i="2"/>
  <c r="X9" i="2" s="1"/>
  <c r="X11" i="2" s="1"/>
  <c r="C23" i="2"/>
  <c r="C47" i="2"/>
  <c r="D98" i="1"/>
  <c r="C98" i="1"/>
  <c r="B98" i="1"/>
  <c r="B68" i="1"/>
  <c r="B35" i="1"/>
  <c r="J42" i="1"/>
  <c r="K42" i="1" s="1"/>
  <c r="J44" i="1"/>
  <c r="K44" i="1" s="1"/>
  <c r="J46" i="1"/>
  <c r="K46" i="1" s="1"/>
  <c r="L46" i="1" s="1"/>
  <c r="M46" i="1" s="1"/>
  <c r="J47" i="1"/>
  <c r="K47" i="1" s="1"/>
  <c r="J48" i="1"/>
  <c r="K48" i="1" s="1"/>
  <c r="Y17" i="2" l="1"/>
  <c r="AH40" i="2" s="1"/>
  <c r="AI40" i="2"/>
  <c r="Z21" i="2"/>
  <c r="AI38" i="2" s="1"/>
  <c r="CD29" i="2"/>
  <c r="CN29" i="2"/>
  <c r="N71" i="1"/>
  <c r="O71" i="1"/>
  <c r="P71" i="1"/>
  <c r="L44" i="1"/>
  <c r="M44" i="1" s="1"/>
  <c r="O72" i="1"/>
  <c r="P72" i="1"/>
  <c r="L72" i="1"/>
  <c r="N72" i="1"/>
  <c r="M72" i="1"/>
  <c r="CF29" i="2"/>
  <c r="AQ19" i="2"/>
  <c r="CI29" i="2"/>
  <c r="L47" i="1"/>
  <c r="M47" i="1" s="1"/>
  <c r="CL29" i="2"/>
  <c r="CE29" i="2"/>
  <c r="CK32" i="2"/>
  <c r="CB29" i="2"/>
  <c r="CM29" i="2"/>
  <c r="CK29" i="2"/>
  <c r="CM37" i="2"/>
  <c r="CD32" i="2"/>
  <c r="BR21" i="2"/>
  <c r="CB17" i="2" s="1"/>
  <c r="CP17" i="2" s="1"/>
  <c r="D41" i="1"/>
  <c r="X33" i="2"/>
  <c r="CD37" i="2"/>
  <c r="CD27" i="2"/>
  <c r="X34" i="2"/>
  <c r="D43" i="1"/>
  <c r="Y34" i="2" s="1"/>
  <c r="E72" i="1"/>
  <c r="K72" i="1" s="1"/>
  <c r="CE32" i="2"/>
  <c r="CM32" i="2"/>
  <c r="Y16" i="2"/>
  <c r="Z20" i="2"/>
  <c r="D116" i="1"/>
  <c r="AG11" i="2" s="1"/>
  <c r="C18" i="4" s="1"/>
  <c r="E73" i="1"/>
  <c r="CN32" i="2"/>
  <c r="CI32" i="2"/>
  <c r="CL37" i="2"/>
  <c r="L48" i="1"/>
  <c r="M48" i="1" s="1"/>
  <c r="CC29" i="2"/>
  <c r="CJ29" i="2"/>
  <c r="CJ30" i="2"/>
  <c r="CJ32" i="2"/>
  <c r="CC32" i="2"/>
  <c r="CL32" i="2"/>
  <c r="CB25" i="2"/>
  <c r="CP25" i="2" s="1"/>
  <c r="BR15" i="2"/>
  <c r="CC30" i="2"/>
  <c r="CM21" i="2"/>
  <c r="CK21" i="2"/>
  <c r="CL21" i="2"/>
  <c r="AG17" i="2"/>
  <c r="CD28" i="2" s="1"/>
  <c r="AH17" i="2"/>
  <c r="AS17" i="2" s="1"/>
  <c r="AI17" i="2"/>
  <c r="AU17" i="2" s="1"/>
  <c r="CF32" i="2"/>
  <c r="CB32" i="2"/>
  <c r="CD30" i="2"/>
  <c r="CL30" i="2"/>
  <c r="CK30" i="2"/>
  <c r="CM30" i="2"/>
  <c r="CE30" i="2"/>
  <c r="CO30" i="2"/>
  <c r="CF30" i="2"/>
  <c r="CI30" i="2"/>
  <c r="CB30" i="2"/>
  <c r="Z16" i="2"/>
  <c r="Y20" i="2"/>
  <c r="I150" i="1"/>
  <c r="B150" i="1"/>
  <c r="CK37" i="2"/>
  <c r="X36" i="2"/>
  <c r="D49" i="1"/>
  <c r="Y36" i="2" s="1"/>
  <c r="X42" i="2"/>
  <c r="X44" i="2"/>
  <c r="CI37" i="2"/>
  <c r="CI21" i="2"/>
  <c r="CI27" i="2"/>
  <c r="CE27" i="2"/>
  <c r="CP19" i="2"/>
  <c r="CE37" i="2"/>
  <c r="CE21" i="2"/>
  <c r="X37" i="2"/>
  <c r="D54" i="1"/>
  <c r="CD21" i="2"/>
  <c r="D55" i="1"/>
  <c r="D50" i="1"/>
  <c r="Y37" i="2" s="1"/>
  <c r="CB31" i="2"/>
  <c r="CF37" i="2"/>
  <c r="CJ37" i="2"/>
  <c r="D52" i="1"/>
  <c r="L42" i="1"/>
  <c r="M42" i="1" s="1"/>
  <c r="D53" i="1"/>
  <c r="Y44" i="2" s="1"/>
  <c r="D51" i="1"/>
  <c r="Y42" i="2" s="1"/>
  <c r="Q23" i="2"/>
  <c r="CB23" i="2" s="1"/>
  <c r="CP23" i="2" s="1"/>
  <c r="CC37" i="2"/>
  <c r="CN37" i="2"/>
  <c r="CO37" i="2"/>
  <c r="CB21" i="2"/>
  <c r="CK27" i="2"/>
  <c r="CM27" i="2"/>
  <c r="Q12" i="2"/>
  <c r="CO21" i="2"/>
  <c r="CC27" i="2"/>
  <c r="CF21" i="2"/>
  <c r="CJ21" i="2"/>
  <c r="CN21" i="2"/>
  <c r="CO27" i="2"/>
  <c r="CP20" i="2"/>
  <c r="CC21" i="2"/>
  <c r="CF27" i="2"/>
  <c r="CJ27" i="2"/>
  <c r="Q40" i="2"/>
  <c r="Q48" i="2" s="1"/>
  <c r="D45" i="1"/>
  <c r="E45" i="1" s="1"/>
  <c r="X35" i="2"/>
  <c r="L71" i="1"/>
  <c r="M71" i="1"/>
  <c r="E71" i="1"/>
  <c r="C68" i="1"/>
  <c r="C71" i="1"/>
  <c r="CP15" i="2"/>
  <c r="C40" i="1"/>
  <c r="I143" i="1" l="1"/>
  <c r="AG14" i="2"/>
  <c r="AG13" i="2" s="1"/>
  <c r="E54" i="1"/>
  <c r="B144" i="1"/>
  <c r="I144" i="1"/>
  <c r="CN33" i="2"/>
  <c r="AG10" i="2"/>
  <c r="AQ13" i="2" s="1"/>
  <c r="BT17" i="2"/>
  <c r="H71" i="1"/>
  <c r="K71" i="1"/>
  <c r="I71" i="1"/>
  <c r="J71" i="1"/>
  <c r="E55" i="1"/>
  <c r="N74" i="1"/>
  <c r="P74" i="1"/>
  <c r="BV17" i="2"/>
  <c r="O74" i="1"/>
  <c r="J72" i="1"/>
  <c r="BR20" i="2"/>
  <c r="CB16" i="2" s="1"/>
  <c r="CP16" i="2" s="1"/>
  <c r="AH12" i="2"/>
  <c r="B143" i="1"/>
  <c r="CP29" i="2"/>
  <c r="F72" i="1"/>
  <c r="I72" i="1"/>
  <c r="H72" i="1"/>
  <c r="BR17" i="2"/>
  <c r="BS17" i="2"/>
  <c r="Y33" i="2"/>
  <c r="E41" i="1"/>
  <c r="Z33" i="2" s="1"/>
  <c r="CB28" i="2"/>
  <c r="CP30" i="2"/>
  <c r="CK28" i="2"/>
  <c r="CP32" i="2"/>
  <c r="CI28" i="2"/>
  <c r="E43" i="1"/>
  <c r="F43" i="1" s="1"/>
  <c r="G72" i="1"/>
  <c r="CN28" i="2"/>
  <c r="G73" i="1"/>
  <c r="F73" i="1"/>
  <c r="CO28" i="2"/>
  <c r="AQ17" i="2"/>
  <c r="CE28" i="2"/>
  <c r="CF28" i="2"/>
  <c r="CJ28" i="2"/>
  <c r="CC28" i="2"/>
  <c r="AH11" i="2"/>
  <c r="D18" i="4" s="1"/>
  <c r="M74" i="1"/>
  <c r="CM28" i="2"/>
  <c r="CL28" i="2"/>
  <c r="BR14" i="2"/>
  <c r="Y40" i="2"/>
  <c r="X40" i="2"/>
  <c r="J150" i="1"/>
  <c r="C149" i="1"/>
  <c r="CD31" i="2"/>
  <c r="CC31" i="2"/>
  <c r="Q32" i="2"/>
  <c r="CB22" i="2"/>
  <c r="CB24" i="2" s="1"/>
  <c r="Y35" i="2"/>
  <c r="G71" i="1"/>
  <c r="F71" i="1"/>
  <c r="CN31" i="2"/>
  <c r="CF31" i="2"/>
  <c r="CE31" i="2"/>
  <c r="CM31" i="2"/>
  <c r="X31" i="2"/>
  <c r="CO31" i="2"/>
  <c r="CL31" i="2"/>
  <c r="E51" i="1"/>
  <c r="Z42" i="2" s="1"/>
  <c r="L74" i="1"/>
  <c r="CP21" i="2"/>
  <c r="CP27" i="2"/>
  <c r="CK31" i="2"/>
  <c r="CI31" i="2"/>
  <c r="CJ31" i="2"/>
  <c r="E52" i="1"/>
  <c r="E50" i="1"/>
  <c r="E53" i="1"/>
  <c r="E49" i="1"/>
  <c r="D40" i="1"/>
  <c r="E40" i="1" s="1"/>
  <c r="Z35" i="2"/>
  <c r="F45" i="1"/>
  <c r="AH14" i="2" l="1"/>
  <c r="AH13" i="2" s="1"/>
  <c r="Y31" i="2"/>
  <c r="Y48" i="2" s="1"/>
  <c r="AH43" i="2" s="1"/>
  <c r="F54" i="1"/>
  <c r="G54" i="1" s="1"/>
  <c r="AQ14" i="2"/>
  <c r="AR19" i="2" s="1"/>
  <c r="AG16" i="2"/>
  <c r="AG35" i="2" s="1"/>
  <c r="AG41" i="2" s="1"/>
  <c r="BG11" i="2"/>
  <c r="BG36" i="2" s="1"/>
  <c r="CM33" i="2"/>
  <c r="CM34" i="2" s="1"/>
  <c r="CJ33" i="2"/>
  <c r="CJ34" i="2" s="1"/>
  <c r="J143" i="1"/>
  <c r="CN34" i="2"/>
  <c r="CI33" i="2"/>
  <c r="CI34" i="2" s="1"/>
  <c r="AI12" i="2"/>
  <c r="AJ12" i="2" s="1"/>
  <c r="AK12" i="2" s="1"/>
  <c r="J144" i="1"/>
  <c r="CL33" i="2"/>
  <c r="CL34" i="2" s="1"/>
  <c r="CO33" i="2"/>
  <c r="CO34" i="2" s="1"/>
  <c r="CD33" i="2"/>
  <c r="CD34" i="2" s="1"/>
  <c r="CB33" i="2"/>
  <c r="CB34" i="2" s="1"/>
  <c r="AQ20" i="2"/>
  <c r="CK33" i="2"/>
  <c r="CK34" i="2" s="1"/>
  <c r="CF33" i="2"/>
  <c r="CE33" i="2"/>
  <c r="CE34" i="2" s="1"/>
  <c r="CC33" i="2"/>
  <c r="CC34" i="2" s="1"/>
  <c r="F55" i="1"/>
  <c r="G55" i="1" s="1"/>
  <c r="C143" i="1"/>
  <c r="CB37" i="2"/>
  <c r="CP37" i="2" s="1"/>
  <c r="AU24" i="2"/>
  <c r="AU25" i="2" s="1"/>
  <c r="BU17" i="2"/>
  <c r="I74" i="1"/>
  <c r="AS24" i="2"/>
  <c r="CC35" i="2"/>
  <c r="G43" i="1"/>
  <c r="H43" i="1" s="1"/>
  <c r="I43" i="1" s="1"/>
  <c r="J43" i="1" s="1"/>
  <c r="G45" i="1"/>
  <c r="F41" i="1"/>
  <c r="AI11" i="2"/>
  <c r="AJ11" i="2" s="1"/>
  <c r="CP22" i="2"/>
  <c r="AH10" i="2"/>
  <c r="BH11" i="2" s="1"/>
  <c r="BH36" i="2" s="1"/>
  <c r="C142" i="1"/>
  <c r="Z34" i="2"/>
  <c r="X48" i="2"/>
  <c r="AG43" i="2" s="1"/>
  <c r="AQ22" i="2" s="1"/>
  <c r="CP28" i="2"/>
  <c r="AQ15" i="2"/>
  <c r="D150" i="1"/>
  <c r="AS20" i="2"/>
  <c r="CP31" i="2"/>
  <c r="Z44" i="2"/>
  <c r="Z36" i="2"/>
  <c r="F49" i="1"/>
  <c r="F52" i="1"/>
  <c r="F53" i="1"/>
  <c r="Z37" i="2"/>
  <c r="F50" i="1"/>
  <c r="F51" i="1"/>
  <c r="CP24" i="2"/>
  <c r="F40" i="1"/>
  <c r="AJ10" i="2" l="1"/>
  <c r="AK11" i="2"/>
  <c r="AK10" i="2" s="1"/>
  <c r="D144" i="1"/>
  <c r="E18" i="4"/>
  <c r="AI14" i="2" s="1"/>
  <c r="K143" i="1"/>
  <c r="AQ16" i="2"/>
  <c r="AR16" i="2" s="1"/>
  <c r="AR17" i="2"/>
  <c r="AR20" i="2"/>
  <c r="AS15" i="2"/>
  <c r="BH12" i="2" s="1"/>
  <c r="BH13" i="2" s="1"/>
  <c r="BH14" i="2" s="1"/>
  <c r="BH15" i="2" s="1"/>
  <c r="K144" i="1"/>
  <c r="CP33" i="2"/>
  <c r="CF34" i="2"/>
  <c r="CP34" i="2" s="1"/>
  <c r="AI10" i="2"/>
  <c r="BI11" i="2" s="1"/>
  <c r="BI36" i="2" s="1"/>
  <c r="H45" i="1"/>
  <c r="I45" i="1" s="1"/>
  <c r="J45" i="1" s="1"/>
  <c r="CD35" i="2"/>
  <c r="CD36" i="2" s="1"/>
  <c r="CD39" i="2" s="1"/>
  <c r="AG52" i="2"/>
  <c r="B145" i="1" s="1"/>
  <c r="AS25" i="2"/>
  <c r="D143" i="1"/>
  <c r="CK35" i="2"/>
  <c r="CK36" i="2" s="1"/>
  <c r="CK39" i="2" s="1"/>
  <c r="CO35" i="2"/>
  <c r="CO36" i="2" s="1"/>
  <c r="CO39" i="2" s="1"/>
  <c r="CI35" i="2"/>
  <c r="CI36" i="2" s="1"/>
  <c r="CI39" i="2" s="1"/>
  <c r="CL35" i="2"/>
  <c r="CL36" i="2" s="1"/>
  <c r="CL39" i="2" s="1"/>
  <c r="CM35" i="2"/>
  <c r="CM36" i="2" s="1"/>
  <c r="CM39" i="2" s="1"/>
  <c r="CB35" i="2"/>
  <c r="CB36" i="2" s="1"/>
  <c r="CB39" i="2" s="1"/>
  <c r="CB40" i="2" s="1"/>
  <c r="AG44" i="2"/>
  <c r="AG45" i="2" s="1"/>
  <c r="CN35" i="2"/>
  <c r="CN36" i="2" s="1"/>
  <c r="CN39" i="2" s="1"/>
  <c r="CE35" i="2"/>
  <c r="CE36" i="2" s="1"/>
  <c r="CE39" i="2" s="1"/>
  <c r="AQ24" i="2"/>
  <c r="AR24" i="2" s="1"/>
  <c r="CF35" i="2"/>
  <c r="CJ35" i="2"/>
  <c r="CJ36" i="2" s="1"/>
  <c r="CJ39" i="2" s="1"/>
  <c r="CC36" i="2"/>
  <c r="CC39" i="2" s="1"/>
  <c r="H54" i="1"/>
  <c r="I54" i="1" s="1"/>
  <c r="G40" i="1"/>
  <c r="H40" i="1" s="1"/>
  <c r="G41" i="1"/>
  <c r="AS14" i="2"/>
  <c r="AT24" i="2" s="1"/>
  <c r="AH16" i="2"/>
  <c r="AH35" i="2" s="1"/>
  <c r="AH41" i="2" s="1"/>
  <c r="AH44" i="2" s="1"/>
  <c r="AH45" i="2" s="1"/>
  <c r="AS13" i="2"/>
  <c r="AR15" i="2"/>
  <c r="BG12" i="2"/>
  <c r="BG13" i="2" s="1"/>
  <c r="BG14" i="2" s="1"/>
  <c r="BG15" i="2" s="1"/>
  <c r="Z31" i="2"/>
  <c r="Z40" i="2"/>
  <c r="AU20" i="2"/>
  <c r="CP26" i="2"/>
  <c r="G49" i="1"/>
  <c r="G51" i="1"/>
  <c r="G50" i="1"/>
  <c r="H55" i="1"/>
  <c r="I55" i="1" s="1"/>
  <c r="G52" i="1"/>
  <c r="G53" i="1"/>
  <c r="K43" i="1"/>
  <c r="L43" i="1" s="1"/>
  <c r="AQ43" i="2"/>
  <c r="AR22" i="2"/>
  <c r="AS22" i="2"/>
  <c r="AY14" i="2" l="1"/>
  <c r="AY13" i="2"/>
  <c r="AW13" i="2"/>
  <c r="AW14" i="2"/>
  <c r="F18" i="4"/>
  <c r="AJ14" i="2" s="1"/>
  <c r="AQ18" i="2"/>
  <c r="AR18" i="2" s="1"/>
  <c r="BH38" i="2"/>
  <c r="BH39" i="2" s="1"/>
  <c r="AG47" i="2"/>
  <c r="CF36" i="2"/>
  <c r="CF39" i="2" s="1"/>
  <c r="AT15" i="2"/>
  <c r="E144" i="1"/>
  <c r="L144" i="1"/>
  <c r="AS16" i="2"/>
  <c r="AT16" i="2" s="1"/>
  <c r="AT22" i="2"/>
  <c r="AU13" i="2"/>
  <c r="AU14" i="2"/>
  <c r="AV25" i="2" s="1"/>
  <c r="L143" i="1"/>
  <c r="G18" i="4"/>
  <c r="AK14" i="2" s="1"/>
  <c r="E143" i="1"/>
  <c r="AT25" i="2"/>
  <c r="AT19" i="2"/>
  <c r="AT17" i="2"/>
  <c r="AT20" i="2"/>
  <c r="K45" i="1"/>
  <c r="L45" i="1" s="1"/>
  <c r="AH52" i="2"/>
  <c r="C144" i="1" s="1"/>
  <c r="BG18" i="2"/>
  <c r="CP35" i="2"/>
  <c r="BG16" i="2"/>
  <c r="BG19" i="2" s="1"/>
  <c r="BG21" i="2" s="1"/>
  <c r="AQ25" i="2"/>
  <c r="AR25" i="2" s="1"/>
  <c r="J54" i="1"/>
  <c r="K54" i="1" s="1"/>
  <c r="H53" i="1"/>
  <c r="I53" i="1" s="1"/>
  <c r="J53" i="1" s="1"/>
  <c r="K53" i="1" s="1"/>
  <c r="L53" i="1" s="1"/>
  <c r="J55" i="1"/>
  <c r="K55" i="1" s="1"/>
  <c r="H41" i="1"/>
  <c r="BG38" i="2"/>
  <c r="BG39" i="2" s="1"/>
  <c r="BR16" i="2" s="1"/>
  <c r="BR18" i="2" s="1"/>
  <c r="AI13" i="2"/>
  <c r="AI16" i="2" s="1"/>
  <c r="AI35" i="2" s="1"/>
  <c r="AU15" i="2"/>
  <c r="BI12" i="2" s="1"/>
  <c r="BI38" i="2" s="1"/>
  <c r="BI39" i="2" s="1"/>
  <c r="Z48" i="2"/>
  <c r="AI43" i="2" s="1"/>
  <c r="AU22" i="2" s="1"/>
  <c r="AU43" i="2" s="1"/>
  <c r="M43" i="1"/>
  <c r="H49" i="1"/>
  <c r="H51" i="1"/>
  <c r="H52" i="1"/>
  <c r="I52" i="1" s="1"/>
  <c r="H50" i="1"/>
  <c r="I40" i="1"/>
  <c r="J40" i="1" s="1"/>
  <c r="K40" i="1" s="1"/>
  <c r="CB41" i="2"/>
  <c r="CC38" i="2"/>
  <c r="CC40" i="2" s="1"/>
  <c r="AS43" i="2"/>
  <c r="BH16" i="2"/>
  <c r="AH47" i="2"/>
  <c r="BH18" i="2"/>
  <c r="AX20" i="2" l="1"/>
  <c r="AX24" i="2"/>
  <c r="AX19" i="2"/>
  <c r="AX17" i="2"/>
  <c r="AX25" i="2"/>
  <c r="AX22" i="2"/>
  <c r="AW15" i="2"/>
  <c r="AX15" i="2" s="1"/>
  <c r="AJ13" i="2"/>
  <c r="AJ16" i="2" s="1"/>
  <c r="AJ35" i="2" s="1"/>
  <c r="AZ24" i="2"/>
  <c r="AZ22" i="2"/>
  <c r="AZ19" i="2"/>
  <c r="AZ17" i="2"/>
  <c r="AZ25" i="2"/>
  <c r="AZ20" i="2"/>
  <c r="AK13" i="2"/>
  <c r="AK16" i="2" s="1"/>
  <c r="AK35" i="2" s="1"/>
  <c r="AY15" i="2"/>
  <c r="AI52" i="2"/>
  <c r="D145" i="1" s="1"/>
  <c r="D12" i="11"/>
  <c r="AQ21" i="2"/>
  <c r="AR21" i="2" s="1"/>
  <c r="BI16" i="2"/>
  <c r="BI17" i="2" s="1"/>
  <c r="M45" i="1"/>
  <c r="CP36" i="2"/>
  <c r="F144" i="1"/>
  <c r="M144" i="1"/>
  <c r="AS18" i="2"/>
  <c r="AT18" i="2" s="1"/>
  <c r="L54" i="1"/>
  <c r="M54" i="1" s="1"/>
  <c r="AV19" i="2"/>
  <c r="AV20" i="2"/>
  <c r="AV24" i="2"/>
  <c r="AV22" i="2"/>
  <c r="AV17" i="2"/>
  <c r="BJ11" i="2"/>
  <c r="BJ36" i="2" s="1"/>
  <c r="M143" i="1"/>
  <c r="F143" i="1"/>
  <c r="J145" i="1"/>
  <c r="BG17" i="2"/>
  <c r="L55" i="1"/>
  <c r="M55" i="1" s="1"/>
  <c r="I41" i="1"/>
  <c r="J41" i="1" s="1"/>
  <c r="K41" i="1" s="1"/>
  <c r="L41" i="1" s="1"/>
  <c r="BT16" i="2"/>
  <c r="BT18" i="2" s="1"/>
  <c r="BS16" i="2"/>
  <c r="BS18" i="2" s="1"/>
  <c r="AU16" i="2"/>
  <c r="AV16" i="2" s="1"/>
  <c r="BI13" i="2"/>
  <c r="BI14" i="2" s="1"/>
  <c r="BI15" i="2" s="1"/>
  <c r="AI41" i="2"/>
  <c r="AI44" i="2" s="1"/>
  <c r="AI45" i="2" s="1"/>
  <c r="AV15" i="2"/>
  <c r="I50" i="1"/>
  <c r="J50" i="1" s="1"/>
  <c r="M53" i="1"/>
  <c r="J52" i="1"/>
  <c r="K52" i="1" s="1"/>
  <c r="I49" i="1"/>
  <c r="I51" i="1"/>
  <c r="J51" i="1" s="1"/>
  <c r="K51" i="1" s="1"/>
  <c r="L51" i="1" s="1"/>
  <c r="M51" i="1" s="1"/>
  <c r="BH19" i="2"/>
  <c r="BH21" i="2" s="1"/>
  <c r="BH17" i="2"/>
  <c r="L40" i="1"/>
  <c r="M40" i="1" s="1"/>
  <c r="BG20" i="2"/>
  <c r="D154" i="1" s="1"/>
  <c r="E154" i="1" s="1"/>
  <c r="CD38" i="2"/>
  <c r="CD40" i="2" s="1"/>
  <c r="CC41" i="2"/>
  <c r="AJ41" i="2" l="1"/>
  <c r="AJ44" i="2" s="1"/>
  <c r="AJ52" i="2"/>
  <c r="AW16" i="2"/>
  <c r="AY16" i="2"/>
  <c r="AZ15" i="2"/>
  <c r="AK52" i="2"/>
  <c r="AK41" i="2"/>
  <c r="AK44" i="2" s="1"/>
  <c r="BJ12" i="2"/>
  <c r="BJ38" i="2" s="1"/>
  <c r="BJ39" i="2" s="1"/>
  <c r="BU16" i="2" s="1"/>
  <c r="BU18" i="2" s="1"/>
  <c r="K145" i="1"/>
  <c r="BI19" i="2"/>
  <c r="BI21" i="2" s="1"/>
  <c r="AQ23" i="2"/>
  <c r="BJ16" i="2"/>
  <c r="AS21" i="2"/>
  <c r="AT21" i="2" s="1"/>
  <c r="AI47" i="2"/>
  <c r="BK12" i="2"/>
  <c r="BK11" i="2"/>
  <c r="BK36" i="2" s="1"/>
  <c r="M41" i="1"/>
  <c r="BI18" i="2"/>
  <c r="AU18" i="2"/>
  <c r="AV18" i="2" s="1"/>
  <c r="K50" i="1"/>
  <c r="L50" i="1" s="1"/>
  <c r="M50" i="1" s="1"/>
  <c r="L52" i="1"/>
  <c r="M52" i="1" s="1"/>
  <c r="J49" i="1"/>
  <c r="K49" i="1" s="1"/>
  <c r="L49" i="1" s="1"/>
  <c r="M49" i="1" s="1"/>
  <c r="CE38" i="2"/>
  <c r="CE40" i="2" s="1"/>
  <c r="CD41" i="2"/>
  <c r="BH20" i="2"/>
  <c r="AX16" i="2" l="1"/>
  <c r="AW18" i="2"/>
  <c r="AJ45" i="2"/>
  <c r="AJ47" i="2" s="1"/>
  <c r="AK45" i="2"/>
  <c r="AK47" i="2" s="1"/>
  <c r="AZ16" i="2"/>
  <c r="AY18" i="2"/>
  <c r="BJ17" i="2"/>
  <c r="BJ13" i="2"/>
  <c r="BJ14" i="2" s="1"/>
  <c r="BJ15" i="2" s="1"/>
  <c r="BJ19" i="2" s="1"/>
  <c r="BJ21" i="2" s="1"/>
  <c r="E145" i="1"/>
  <c r="AQ26" i="2"/>
  <c r="AR26" i="2" s="1"/>
  <c r="D17" i="11"/>
  <c r="BI20" i="2"/>
  <c r="AR23" i="2"/>
  <c r="AS23" i="2"/>
  <c r="AT23" i="2" s="1"/>
  <c r="F145" i="1"/>
  <c r="AU21" i="2"/>
  <c r="AV21" i="2" s="1"/>
  <c r="CE41" i="2"/>
  <c r="CF38" i="2"/>
  <c r="CF40" i="2" s="1"/>
  <c r="AX18" i="2" l="1"/>
  <c r="AW21" i="2"/>
  <c r="AY21" i="2"/>
  <c r="AZ18" i="2"/>
  <c r="L145" i="1"/>
  <c r="AQ27" i="2"/>
  <c r="AR27" i="2" s="1"/>
  <c r="BK16" i="2"/>
  <c r="BK17" i="2" s="1"/>
  <c r="BJ18" i="2"/>
  <c r="BJ20" i="2"/>
  <c r="AS26" i="2"/>
  <c r="AT26" i="2" s="1"/>
  <c r="BK18" i="2"/>
  <c r="M145" i="1"/>
  <c r="BK38" i="2"/>
  <c r="BK39" i="2" s="1"/>
  <c r="BV16" i="2" s="1"/>
  <c r="BV18" i="2" s="1"/>
  <c r="BK13" i="2"/>
  <c r="BK14" i="2" s="1"/>
  <c r="BK15" i="2" s="1"/>
  <c r="AU23" i="2"/>
  <c r="AV23" i="2" s="1"/>
  <c r="CI38" i="2"/>
  <c r="CI40" i="2" s="1"/>
  <c r="CF41" i="2"/>
  <c r="AW23" i="2" l="1"/>
  <c r="AX21" i="2"/>
  <c r="AY23" i="2"/>
  <c r="AZ21" i="2"/>
  <c r="AQ42" i="2"/>
  <c r="AQ44" i="2" s="1"/>
  <c r="AQ46" i="2" s="1"/>
  <c r="AQ28" i="2"/>
  <c r="AR28" i="2" s="1"/>
  <c r="BK19" i="2"/>
  <c r="BK21" i="2" s="1"/>
  <c r="AS27" i="2"/>
  <c r="AT27" i="2" s="1"/>
  <c r="AU26" i="2"/>
  <c r="AV26" i="2" s="1"/>
  <c r="CI41" i="2"/>
  <c r="CJ38" i="2"/>
  <c r="CJ40" i="2" s="1"/>
  <c r="AX23" i="2" l="1"/>
  <c r="AW26" i="2"/>
  <c r="AY26" i="2"/>
  <c r="AZ23" i="2"/>
  <c r="BR23" i="2"/>
  <c r="BR24" i="2" s="1"/>
  <c r="BR25" i="2" s="1"/>
  <c r="BR26" i="2" s="1"/>
  <c r="C13" i="10"/>
  <c r="BK20" i="2"/>
  <c r="AS42" i="2"/>
  <c r="AS44" i="2" s="1"/>
  <c r="AS28" i="2"/>
  <c r="AT28" i="2" s="1"/>
  <c r="AU27" i="2"/>
  <c r="AV27" i="2" s="1"/>
  <c r="CK38" i="2"/>
  <c r="CK40" i="2" s="1"/>
  <c r="CJ41" i="2"/>
  <c r="AX26" i="2" l="1"/>
  <c r="AW27" i="2"/>
  <c r="AY27" i="2"/>
  <c r="AZ26" i="2"/>
  <c r="C15" i="10"/>
  <c r="AS46" i="2"/>
  <c r="D13" i="10"/>
  <c r="BS23" i="2"/>
  <c r="BS24" i="2" s="1"/>
  <c r="BS25" i="2" s="1"/>
  <c r="BS26" i="2" s="1"/>
  <c r="AU28" i="2"/>
  <c r="AV28" i="2" s="1"/>
  <c r="AU42" i="2"/>
  <c r="AU44" i="2" s="1"/>
  <c r="E13" i="10" s="1"/>
  <c r="E15" i="10" s="1"/>
  <c r="CK41" i="2"/>
  <c r="CL38" i="2"/>
  <c r="CL40" i="2" s="1"/>
  <c r="AX27" i="2" l="1"/>
  <c r="AW42" i="2"/>
  <c r="AW44" i="2" s="1"/>
  <c r="AW46" i="2" s="1"/>
  <c r="AW28" i="2"/>
  <c r="AX28" i="2" s="1"/>
  <c r="AY28" i="2"/>
  <c r="AZ28" i="2" s="1"/>
  <c r="AZ27" i="2"/>
  <c r="AY42" i="2"/>
  <c r="AY44" i="2" s="1"/>
  <c r="AY46" i="2" s="1"/>
  <c r="D15" i="10"/>
  <c r="BT23" i="2"/>
  <c r="BT24" i="2" s="1"/>
  <c r="BT25" i="2" s="1"/>
  <c r="BT26" i="2" s="1"/>
  <c r="AU46" i="2"/>
  <c r="CL41" i="2"/>
  <c r="CM38" i="2"/>
  <c r="CM40" i="2" s="1"/>
  <c r="G13" i="10" l="1"/>
  <c r="G15" i="10" s="1"/>
  <c r="CM41" i="2"/>
  <c r="CN38" i="2"/>
  <c r="CN40" i="2" s="1"/>
  <c r="BU23" i="2" l="1"/>
  <c r="BU24" i="2" s="1"/>
  <c r="BU25" i="2" s="1"/>
  <c r="BU26" i="2" s="1"/>
  <c r="F13" i="10"/>
  <c r="BV23" i="2"/>
  <c r="BV24" i="2" s="1"/>
  <c r="BV25" i="2" s="1"/>
  <c r="CN41" i="2"/>
  <c r="CO38" i="2"/>
  <c r="CO40" i="2" s="1"/>
  <c r="BV26" i="2" l="1"/>
  <c r="F15" i="10"/>
  <c r="C16" i="10" s="1"/>
  <c r="C17" i="10"/>
  <c r="CO41" i="2"/>
  <c r="CP41" i="2" s="1"/>
  <c r="D158" i="1" s="1"/>
  <c r="E158" i="1" s="1"/>
  <c r="C18" i="10" l="1"/>
</calcChain>
</file>

<file path=xl/sharedStrings.xml><?xml version="1.0" encoding="utf-8"?>
<sst xmlns="http://schemas.openxmlformats.org/spreadsheetml/2006/main" count="857" uniqueCount="597">
  <si>
    <t>Votre statut juridique :</t>
  </si>
  <si>
    <t>Micro-entreprise</t>
  </si>
  <si>
    <t>Votre numéro de téléphone :</t>
  </si>
  <si>
    <t>Saisissez dans cet onglet toutes les données de votre projet</t>
  </si>
  <si>
    <t>Frais d’ouverture de compteurs</t>
  </si>
  <si>
    <t>Achat fonds de commerce ou parts</t>
  </si>
  <si>
    <t>Droit au bail</t>
  </si>
  <si>
    <t>Pour l'aménagement du local</t>
  </si>
  <si>
    <t>Matériel, outillage, machines, véhicules…</t>
  </si>
  <si>
    <t>Fournitures, ordinateur, imprimante</t>
  </si>
  <si>
    <t>Matières premières, produits finis ou semi-finis</t>
  </si>
  <si>
    <t>Enseigne et éléments de communication</t>
  </si>
  <si>
    <t>Assurances</t>
  </si>
  <si>
    <t>Salaires employés</t>
  </si>
  <si>
    <t>Charges sociales employés</t>
  </si>
  <si>
    <t>Mutuelle</t>
  </si>
  <si>
    <t>Fournitures diverses</t>
  </si>
  <si>
    <t>Nettoyage des locaux</t>
  </si>
  <si>
    <t>Loyer et charges locatives</t>
  </si>
  <si>
    <t>Charges financières</t>
  </si>
  <si>
    <t>Dépôt marque, brevet, modèle</t>
  </si>
  <si>
    <t>Droits d’entrée</t>
  </si>
  <si>
    <t>Caution ou dépôt de garantie</t>
  </si>
  <si>
    <t>Frais de notaire ou d’avocat</t>
  </si>
  <si>
    <t>Trésorerie de départ</t>
  </si>
  <si>
    <t>Année 1</t>
  </si>
  <si>
    <t>Année 2</t>
  </si>
  <si>
    <t>Année 3</t>
  </si>
  <si>
    <t>Taxes, CFE</t>
  </si>
  <si>
    <t>Budget publicité et communication</t>
  </si>
  <si>
    <t>Autres charges (inscrire libellé ci-dessous) :</t>
  </si>
  <si>
    <t>TOTAL</t>
  </si>
  <si>
    <t>Frais de dossier</t>
  </si>
  <si>
    <t>Montant prêt n°1</t>
  </si>
  <si>
    <t>Montant prêt n°2</t>
  </si>
  <si>
    <t>Montant prêt n°3</t>
  </si>
  <si>
    <r>
      <t>Prévoyez ici le chiffre d'affaires de votre activité (</t>
    </r>
    <r>
      <rPr>
        <i/>
        <u/>
        <sz val="11"/>
        <color rgb="FFFF0000"/>
        <rFont val="Calibri"/>
        <family val="2"/>
        <scheme val="minor"/>
      </rPr>
      <t>hors taxes</t>
    </r>
    <r>
      <rPr>
        <i/>
        <sz val="11"/>
        <color theme="1"/>
        <rFont val="Calibri"/>
        <family val="2"/>
        <scheme val="minor"/>
      </rPr>
      <t>).</t>
    </r>
  </si>
  <si>
    <t>Chiffre d'affaires mensuel</t>
  </si>
  <si>
    <t xml:space="preserve">  Pourcentage d'augmentation du chiffre d'affaire entre l'année 1 et l'année 2 :</t>
  </si>
  <si>
    <t xml:space="preserve">  Pourcentage d'augmentation du chiffre d'affaire entre l'année 2 et l'année 3 :</t>
  </si>
  <si>
    <t>1) Vos besoins de démarrage :</t>
  </si>
  <si>
    <t>2) Le financement de vos besoins de démarrage :</t>
  </si>
  <si>
    <t>3) Vos charges fixes :</t>
  </si>
  <si>
    <t>5) Vos charges variables :</t>
  </si>
  <si>
    <t>D'après les éléments que vous avez indiqués, votre projet est :</t>
  </si>
  <si>
    <t>D'après les éléments que vous avez indiqués, votre trésorerie de départ est :</t>
  </si>
  <si>
    <t>6) Votre besoin en fonds de roulement :</t>
  </si>
  <si>
    <t>Votre adresse e-mail :</t>
  </si>
  <si>
    <t>(saisir taux)</t>
  </si>
  <si>
    <t>Projet :</t>
  </si>
  <si>
    <t>Porteur de projet :</t>
  </si>
  <si>
    <t>Immobilisations corporelles</t>
  </si>
  <si>
    <t>Emprunt</t>
  </si>
  <si>
    <t>Immobilisations incorporelles</t>
  </si>
  <si>
    <t>TOTAL BESOINS</t>
  </si>
  <si>
    <t xml:space="preserve">Apport personnel </t>
  </si>
  <si>
    <t>Apports en nature (en valeur)</t>
  </si>
  <si>
    <t>TOTAL RESSOURCES</t>
  </si>
  <si>
    <t>Achats consommés</t>
  </si>
  <si>
    <t>Charges externes</t>
  </si>
  <si>
    <t>Impôts et taxes</t>
  </si>
  <si>
    <t>8) Contrôle de votre seuil de rentabilité :</t>
  </si>
  <si>
    <t>9) Contrôle du niveau de votre trésorerie de départ :</t>
  </si>
  <si>
    <t>7) Salaires employés et rémunération chef d'entreprise</t>
  </si>
  <si>
    <t>Charges sociales dirigeant(s)</t>
  </si>
  <si>
    <t>Prélèvement dirigeant(s)</t>
  </si>
  <si>
    <t>Dotations aux amortissements</t>
  </si>
  <si>
    <t>Impôt sur les sociétés</t>
  </si>
  <si>
    <t>Oui</t>
  </si>
  <si>
    <t>Non</t>
  </si>
  <si>
    <t>Employés</t>
  </si>
  <si>
    <t>Vente de marchandises ou de services ?</t>
  </si>
  <si>
    <t>Services</t>
  </si>
  <si>
    <t>Année 4</t>
  </si>
  <si>
    <t>Année 5</t>
  </si>
  <si>
    <t>Année 6</t>
  </si>
  <si>
    <t>Année 7</t>
  </si>
  <si>
    <t>Année 8</t>
  </si>
  <si>
    <t>Année 9</t>
  </si>
  <si>
    <t>Année 10</t>
  </si>
  <si>
    <t>Montant à amortir</t>
  </si>
  <si>
    <t>mensualité</t>
  </si>
  <si>
    <t>Analyse linéaire</t>
  </si>
  <si>
    <t>Intérêts sur toute la durée</t>
  </si>
  <si>
    <t>Marchandises (y compris hébergement et restauration)</t>
  </si>
  <si>
    <t>Impôt sur le revenu</t>
  </si>
  <si>
    <r>
      <t xml:space="preserve">Sélectionnez dans la liste déroulante </t>
    </r>
    <r>
      <rPr>
        <b/>
        <i/>
        <sz val="11"/>
        <color rgb="FFFF0000"/>
        <rFont val="Calibri"/>
        <family val="2"/>
        <scheme val="minor"/>
      </rPr>
      <t>(obligatoire)</t>
    </r>
  </si>
  <si>
    <t>CFE = cotisation foncière des entreprises</t>
  </si>
  <si>
    <t>Total charges dirigeant (somme.si)</t>
  </si>
  <si>
    <t>EURL (IS)</t>
  </si>
  <si>
    <t>Entreprise individuelle au réel (IR)</t>
  </si>
  <si>
    <t>SARL (IS)</t>
  </si>
  <si>
    <t>SAS (IS)</t>
  </si>
  <si>
    <t>SASU (IS)</t>
  </si>
  <si>
    <t>IR</t>
  </si>
  <si>
    <t>IS</t>
  </si>
  <si>
    <t>Chiffre à prendre en compte pour le calcul RSI EI</t>
  </si>
  <si>
    <t>Mixte</t>
  </si>
  <si>
    <t xml:space="preserve"> Produits d'exploitation</t>
  </si>
  <si>
    <t xml:space="preserve"> Charges d'exploitation</t>
  </si>
  <si>
    <t xml:space="preserve"> Marge brute</t>
  </si>
  <si>
    <t xml:space="preserve"> Charges externes</t>
  </si>
  <si>
    <t xml:space="preserve"> Valeur ajoutée</t>
  </si>
  <si>
    <t xml:space="preserve"> Excédent brut d'exploitation</t>
  </si>
  <si>
    <t xml:space="preserve"> Résultat avant impôts</t>
  </si>
  <si>
    <t>SERVICES</t>
  </si>
  <si>
    <t>Frais bancaires, charges financières</t>
  </si>
  <si>
    <t>Investissements et financements</t>
  </si>
  <si>
    <t xml:space="preserve"> INVESTISSEMENTS</t>
  </si>
  <si>
    <t xml:space="preserve"> FINANCEMENT DES INVESTISSEMENTS</t>
  </si>
  <si>
    <t>Prêt n°3 (nom de la banque)</t>
  </si>
  <si>
    <t>Subvention n°1 (libellé)</t>
  </si>
  <si>
    <t>Subvention n°2 (libellé)</t>
  </si>
  <si>
    <t>Autre financement (libellé)</t>
  </si>
  <si>
    <t>taux</t>
  </si>
  <si>
    <t>durée mois</t>
  </si>
  <si>
    <t>Salaires et charges sociales</t>
  </si>
  <si>
    <t>Statut juridique :</t>
  </si>
  <si>
    <t>% augmentation</t>
  </si>
  <si>
    <t>Salaires des employés</t>
  </si>
  <si>
    <t xml:space="preserve"> Charges sociales employés</t>
  </si>
  <si>
    <t>Rémunération du (des) dirigeants</t>
  </si>
  <si>
    <t xml:space="preserve"> Charges sociales du (des) dirigeant(s)</t>
  </si>
  <si>
    <t>Détail des amortissements</t>
  </si>
  <si>
    <t>Amortissements incorporels</t>
  </si>
  <si>
    <t>Amortissements corporels</t>
  </si>
  <si>
    <t>Total amortissements</t>
  </si>
  <si>
    <t>Soldes intermédiaires de gestion</t>
  </si>
  <si>
    <t>Chiffre d'affaires</t>
  </si>
  <si>
    <t>Ventes + production réelle</t>
  </si>
  <si>
    <t>Charges de personnel</t>
  </si>
  <si>
    <t xml:space="preserve"> Marge globale</t>
  </si>
  <si>
    <t xml:space="preserve"> Résultat d'exploitation</t>
  </si>
  <si>
    <t>Résultat financier</t>
  </si>
  <si>
    <t>Capacité d'autofinancement</t>
  </si>
  <si>
    <t xml:space="preserve"> Résultat courant</t>
  </si>
  <si>
    <t xml:space="preserve"> Résultat de l'exercice</t>
  </si>
  <si>
    <t>Autofinancement net</t>
  </si>
  <si>
    <t>%</t>
  </si>
  <si>
    <t>Intérêts année 1</t>
  </si>
  <si>
    <t>Intérêts année 2</t>
  </si>
  <si>
    <t>Intérêts année 3</t>
  </si>
  <si>
    <t>Principal année 1</t>
  </si>
  <si>
    <t>Principal année 2</t>
  </si>
  <si>
    <t>Principal année 3</t>
  </si>
  <si>
    <t>total à rembourser</t>
  </si>
  <si>
    <t>principal mensuel</t>
  </si>
  <si>
    <t>Intérêt / mois</t>
  </si>
  <si>
    <t>Seuil de rentabilité économique</t>
  </si>
  <si>
    <t>Total des coûts variables</t>
  </si>
  <si>
    <t>Marge sur coûts variables</t>
  </si>
  <si>
    <t>Coûts fixes</t>
  </si>
  <si>
    <t>Résultat courant avant impôts</t>
  </si>
  <si>
    <t>Excédent / insuffisance</t>
  </si>
  <si>
    <t>Point mort en chiffre d'affaires par jour ouvré</t>
  </si>
  <si>
    <t>Besoin en fonds de roulement</t>
  </si>
  <si>
    <t xml:space="preserve"> Ressources</t>
  </si>
  <si>
    <t xml:space="preserve"> Besoins</t>
  </si>
  <si>
    <t>Volume dettes fournisseurs HT</t>
  </si>
  <si>
    <t>Volume crédit client HT</t>
  </si>
  <si>
    <t>délai jours</t>
  </si>
  <si>
    <t xml:space="preserve"> Besoin en fonds de roulement</t>
  </si>
  <si>
    <t>Analyse clients / fournisseurs :</t>
  </si>
  <si>
    <t xml:space="preserve"> Ventes + Production réelle</t>
  </si>
  <si>
    <t xml:space="preserve"> Taux de marge sur coûts variables</t>
  </si>
  <si>
    <t xml:space="preserve"> Total des charges</t>
  </si>
  <si>
    <t xml:space="preserve"> Seuil de rentabilité (chiffre d'affaires)</t>
  </si>
  <si>
    <t xml:space="preserve"> Total des besoins</t>
  </si>
  <si>
    <t>Variation du Besoin en fonds de roulement</t>
  </si>
  <si>
    <t>Remboursement d'emprunts</t>
  </si>
  <si>
    <t xml:space="preserve">   Immobilisations</t>
  </si>
  <si>
    <t>Apport personnel</t>
  </si>
  <si>
    <t>Emprunts</t>
  </si>
  <si>
    <t>Subventions</t>
  </si>
  <si>
    <t>Autres financements</t>
  </si>
  <si>
    <t>Capacité d'auto-financement</t>
  </si>
  <si>
    <t xml:space="preserve"> Total des ressources</t>
  </si>
  <si>
    <t>Variation de trésorerie</t>
  </si>
  <si>
    <t>Budget prévisionnel de trésorerie</t>
  </si>
  <si>
    <t>Mois 1</t>
  </si>
  <si>
    <t>Mois 2</t>
  </si>
  <si>
    <t>Mois 3</t>
  </si>
  <si>
    <t>Vente de services</t>
  </si>
  <si>
    <t>Chiffre d'affaires (total)</t>
  </si>
  <si>
    <t>Mois 4</t>
  </si>
  <si>
    <t>Budget prévisionnel de trésorerie (suite)</t>
  </si>
  <si>
    <t>Mois 5</t>
  </si>
  <si>
    <t>Mois 6</t>
  </si>
  <si>
    <t>Mois 7</t>
  </si>
  <si>
    <t>Mois 8</t>
  </si>
  <si>
    <t>Mois 9</t>
  </si>
  <si>
    <t>Mois 10</t>
  </si>
  <si>
    <t>Mois 11</t>
  </si>
  <si>
    <t>Mois 12</t>
  </si>
  <si>
    <t>Immobilisations (total)</t>
  </si>
  <si>
    <t>Échéances emprunt</t>
  </si>
  <si>
    <t>Achats de marchandises</t>
  </si>
  <si>
    <t>Total charges de personnel</t>
  </si>
  <si>
    <t>Total des décaissements</t>
  </si>
  <si>
    <t>Solde précédent</t>
  </si>
  <si>
    <t>Total des encaissements</t>
  </si>
  <si>
    <t>Logiciels, formations</t>
  </si>
  <si>
    <t>Acquisition d'immeuble</t>
  </si>
  <si>
    <r>
      <t xml:space="preserve">  (saisir des chiffres </t>
    </r>
    <r>
      <rPr>
        <i/>
        <u/>
        <sz val="10"/>
        <color theme="1"/>
        <rFont val="Calibri"/>
        <family val="2"/>
        <scheme val="minor"/>
      </rPr>
      <t>annuels</t>
    </r>
    <r>
      <rPr>
        <i/>
        <sz val="10"/>
        <color theme="1"/>
        <rFont val="Calibri"/>
        <family val="2"/>
        <scheme val="minor"/>
      </rPr>
      <t>)</t>
    </r>
  </si>
  <si>
    <t>Solde du mois</t>
  </si>
  <si>
    <t>Solde de trésorerie (cumul)</t>
  </si>
  <si>
    <t>Première année</t>
  </si>
  <si>
    <t>Montant année 1</t>
  </si>
  <si>
    <t>Montant année 2</t>
  </si>
  <si>
    <t>Montant année 3</t>
  </si>
  <si>
    <t>Montant</t>
  </si>
  <si>
    <t>Votre ville ou commune d'activité :</t>
  </si>
  <si>
    <t>(saisir la durée en mois)</t>
  </si>
  <si>
    <r>
      <t xml:space="preserve">Rémunération </t>
    </r>
    <r>
      <rPr>
        <b/>
        <sz val="11"/>
        <color theme="1"/>
        <rFont val="Calibri"/>
        <family val="2"/>
        <scheme val="minor"/>
      </rPr>
      <t>nette</t>
    </r>
    <r>
      <rPr>
        <sz val="11"/>
        <color theme="1"/>
        <rFont val="Calibri"/>
        <family val="2"/>
        <scheme val="minor"/>
      </rPr>
      <t xml:space="preserve"> dirigeant(s)</t>
    </r>
  </si>
  <si>
    <t>1ère année</t>
  </si>
  <si>
    <t xml:space="preserve"> Résultat net comptable (résultat de l'exercice)</t>
  </si>
  <si>
    <r>
      <t xml:space="preserve">Durée moyenne des crédits accordés aux clients </t>
    </r>
    <r>
      <rPr>
        <b/>
        <sz val="11"/>
        <color theme="1"/>
        <rFont val="Calibri"/>
        <family val="2"/>
        <scheme val="minor"/>
      </rPr>
      <t>en jours</t>
    </r>
  </si>
  <si>
    <r>
      <t xml:space="preserve">Durée moyenne des dettes fournisseurs </t>
    </r>
    <r>
      <rPr>
        <b/>
        <sz val="11"/>
        <color theme="1"/>
        <rFont val="Calibri"/>
        <family val="2"/>
        <scheme val="minor"/>
      </rPr>
      <t>en jours</t>
    </r>
  </si>
  <si>
    <t xml:space="preserve"> (temps qu'un client met pour vous payer)</t>
  </si>
  <si>
    <t xml:space="preserve"> (temps que vous mettez pour payer un fournisseur)</t>
  </si>
  <si>
    <t>Le plan financier apparaitra dans l'onglet suivant</t>
  </si>
  <si>
    <t>Rappel trésorerie début année 1 :</t>
  </si>
  <si>
    <t>Apport personnel ou familial</t>
  </si>
  <si>
    <t>Somme d’argent gardée en prévision du démarrage de l’activité pour financer le cycle d'exploitation</t>
  </si>
  <si>
    <r>
      <t xml:space="preserve">Listez vos charges courantes récurrentes, </t>
    </r>
    <r>
      <rPr>
        <i/>
        <u/>
        <sz val="11"/>
        <color rgb="FFFF0000"/>
        <rFont val="Calibri"/>
        <family val="2"/>
        <scheme val="minor"/>
      </rPr>
      <t>en hors taxe (ou TTC si vous n'êtes pas soumis à la TVA).</t>
    </r>
  </si>
  <si>
    <t>Acquisition stocks</t>
  </si>
  <si>
    <t>Excédent de trésorerie</t>
  </si>
  <si>
    <t>supprimer si inutile</t>
  </si>
  <si>
    <t>Libellé autre charge 1</t>
  </si>
  <si>
    <t>Libellé autre charge 2</t>
  </si>
  <si>
    <t>Libellé autre charge 3</t>
  </si>
  <si>
    <t>Prénom, nom :</t>
  </si>
  <si>
    <t>Intitulé de votre projet :</t>
  </si>
  <si>
    <t>Acquisition des stocks</t>
  </si>
  <si>
    <t>Montant année 4</t>
  </si>
  <si>
    <t>Montant année 5</t>
  </si>
  <si>
    <t xml:space="preserve">  Pourcentage d'augmentation du chiffre d'affaire entre l'année 3 et l'année 4 :</t>
  </si>
  <si>
    <t xml:space="preserve">  Pourcentage d'augmentation du chiffre d'affaire entre l'année 4 et l'année 5 :</t>
  </si>
  <si>
    <t>Compte de résultats prévisionnel sur 5 ans</t>
  </si>
  <si>
    <t>Plan de financement à cinq ans</t>
  </si>
  <si>
    <t>Statut social du/des dirigeants :</t>
  </si>
  <si>
    <t xml:space="preserve"> - Remboursement emprunts</t>
  </si>
  <si>
    <t xml:space="preserve"> + Dotation amortissements</t>
  </si>
  <si>
    <t>Dotation amortissements</t>
  </si>
  <si>
    <t>Capacité autofinancement</t>
  </si>
  <si>
    <t>Principal année 4</t>
  </si>
  <si>
    <t>Principal année 5</t>
  </si>
  <si>
    <t>Intérêts année 4</t>
  </si>
  <si>
    <t>Intérêts année 5</t>
  </si>
  <si>
    <t>MARCHANDISES</t>
  </si>
  <si>
    <t>Ce tableau ne pas en compte les flux de TVA ni le besoin en fonds de roulement.</t>
  </si>
  <si>
    <t>D'autre part, l'impôt sur les sociétés n'est pas intégré car payé l'année suivante.</t>
  </si>
  <si>
    <r>
      <t xml:space="preserve">Calcul des charges sociales </t>
    </r>
    <r>
      <rPr>
        <b/>
        <sz val="11"/>
        <color rgb="FFFF0000"/>
        <rFont val="Calibri"/>
        <family val="2"/>
        <scheme val="minor"/>
      </rPr>
      <t>sans ACRE</t>
    </r>
  </si>
  <si>
    <r>
      <t xml:space="preserve">Calcul avec </t>
    </r>
    <r>
      <rPr>
        <b/>
        <sz val="11"/>
        <color rgb="FFFF0000"/>
        <rFont val="Calibri"/>
        <family val="2"/>
        <scheme val="minor"/>
      </rPr>
      <t>ACRE</t>
    </r>
  </si>
  <si>
    <r>
      <t xml:space="preserve">4) Votre chiffre d'affaires de la </t>
    </r>
    <r>
      <rPr>
        <b/>
        <u/>
        <sz val="14"/>
        <color rgb="FFC00000"/>
        <rFont val="Calibri"/>
        <family val="2"/>
        <scheme val="minor"/>
      </rPr>
      <t>première année</t>
    </r>
    <r>
      <rPr>
        <b/>
        <sz val="14"/>
        <color rgb="FFC00000"/>
        <rFont val="Calibri"/>
        <family val="2"/>
        <scheme val="minor"/>
      </rPr>
      <t xml:space="preserve"> :</t>
    </r>
  </si>
  <si>
    <r>
      <t xml:space="preserve">10) Visualisez et imprimez votre plan financier : </t>
    </r>
    <r>
      <rPr>
        <b/>
        <u/>
        <sz val="20"/>
        <color rgb="FFFF0000"/>
        <rFont val="Calibri"/>
        <family val="2"/>
        <scheme val="minor"/>
      </rPr>
      <t>voir onglet suivant</t>
    </r>
    <r>
      <rPr>
        <b/>
        <sz val="20"/>
        <color rgb="FFFF0000"/>
        <rFont val="Calibri"/>
        <family val="2"/>
        <scheme val="minor"/>
      </rPr>
      <t xml:space="preserve"> !</t>
    </r>
  </si>
  <si>
    <t>bp6688</t>
  </si>
  <si>
    <t>prix de vente par litre</t>
  </si>
  <si>
    <t xml:space="preserve">Chiffre d'affaires </t>
  </si>
  <si>
    <t xml:space="preserve">prix de revient au litre </t>
  </si>
  <si>
    <t>Achats consommés/litre</t>
  </si>
  <si>
    <t xml:space="preserve">charges de personnel </t>
  </si>
  <si>
    <t>Directeur</t>
  </si>
  <si>
    <t>Gestionnaire des stocks</t>
  </si>
  <si>
    <t>Agent commercial</t>
  </si>
  <si>
    <t>Opérateur sur machines</t>
  </si>
  <si>
    <t>Chauffeur livreur</t>
  </si>
  <si>
    <t>Agent de sécurité</t>
  </si>
  <si>
    <t>Les charges variables sont liées à la production. Il s’agit des achats de matières destinées à être transformées</t>
  </si>
  <si>
    <r>
      <t xml:space="preserve">Année 1 - </t>
    </r>
    <r>
      <rPr>
        <b/>
        <u/>
        <sz val="14"/>
        <color rgb="FFFF0000"/>
        <rFont val="Calibri"/>
        <family val="2"/>
        <scheme val="minor"/>
      </rPr>
      <t>Vente de produits finis</t>
    </r>
  </si>
  <si>
    <t>Années</t>
  </si>
  <si>
    <t>AN 1</t>
  </si>
  <si>
    <t>AN 2</t>
  </si>
  <si>
    <t xml:space="preserve">AN3 </t>
  </si>
  <si>
    <t>AN 4</t>
  </si>
  <si>
    <t>AN 5</t>
  </si>
  <si>
    <t xml:space="preserve"> </t>
  </si>
  <si>
    <t>Au sein de la société OVO X, elle bénéficie d’avantages fiscaux et douaniers, ce qui signifie qu’aucun impôt ni frais de douanes ne sont exigibles durant les premières années.</t>
  </si>
  <si>
    <t>Synthèse des éléments fournis :</t>
  </si>
  <si>
    <t>Montant du prêt</t>
  </si>
  <si>
    <t>Mensualité</t>
  </si>
  <si>
    <t>Taux d'intérêt annuel</t>
  </si>
  <si>
    <t>Nombre de mensualités prévues</t>
  </si>
  <si>
    <t>Durée du prêt en années</t>
  </si>
  <si>
    <t>Nombre de versements par an</t>
  </si>
  <si>
    <t>Date de début de l'emprunt</t>
  </si>
  <si>
    <t>Échéance</t>
  </si>
  <si>
    <t xml:space="preserve">remboursement annuel </t>
  </si>
  <si>
    <t>annee 1</t>
  </si>
  <si>
    <t>annee 2</t>
  </si>
  <si>
    <t>année 3</t>
  </si>
  <si>
    <t>année 4</t>
  </si>
  <si>
    <t>onterets</t>
  </si>
  <si>
    <t>année 5</t>
  </si>
  <si>
    <t xml:space="preserve">annuité </t>
  </si>
  <si>
    <t>Equipement</t>
  </si>
  <si>
    <t xml:space="preserve">Matériel de transport </t>
  </si>
  <si>
    <t xml:space="preserve">Le détail des charges apparait dans les onglets suivants </t>
  </si>
  <si>
    <t xml:space="preserve">Nom du projet </t>
  </si>
  <si>
    <t xml:space="preserve">renseignez le montant du prêt </t>
  </si>
  <si>
    <t xml:space="preserve">étant donné que la société OVO X beneficie d'une exonerations des droit d'enregistrement et autres taxes, </t>
  </si>
  <si>
    <t xml:space="preserve">nous supposons, qu'il n'y a pas de frais préliminaires </t>
  </si>
  <si>
    <t xml:space="preserve">Vente de produits finis </t>
  </si>
  <si>
    <t>Cash flows Nets</t>
  </si>
  <si>
    <t>Coefficient d'actualisation</t>
  </si>
  <si>
    <t>Cash flows Nets actualisé</t>
  </si>
  <si>
    <t>∑ CFA</t>
  </si>
  <si>
    <t>VAN</t>
  </si>
  <si>
    <t>TRI</t>
  </si>
  <si>
    <t>RF</t>
  </si>
  <si>
    <t>RE</t>
  </si>
  <si>
    <t>Abonnement (téléphone...)</t>
  </si>
  <si>
    <t>DEC2024</t>
  </si>
  <si>
    <t>Consigne d'utilisation :</t>
  </si>
  <si>
    <r>
      <t>Compléter uniquement les cellules en "</t>
    </r>
    <r>
      <rPr>
        <b/>
        <sz val="14"/>
        <color rgb="FF7030A0"/>
        <rFont val="Times New Roman"/>
        <family val="1"/>
      </rPr>
      <t>Violet</t>
    </r>
    <r>
      <rPr>
        <sz val="12"/>
        <rFont val="Times New Roman"/>
        <family val="1"/>
      </rPr>
      <t>"</t>
    </r>
  </si>
  <si>
    <t xml:space="preserve">Immobilisations </t>
  </si>
  <si>
    <t>Amortissement 
annuel</t>
  </si>
  <si>
    <t>N°</t>
  </si>
  <si>
    <t>Construction</t>
  </si>
  <si>
    <r>
      <t xml:space="preserve">Commentaires :
</t>
    </r>
    <r>
      <rPr>
        <sz val="12"/>
        <rFont val="Times New Roman"/>
        <family val="1"/>
      </rPr>
      <t>Recenser les immobilisations liées au projet et définir la durée d'amortissement de chaque immobilisation, puis remplir le tableau ci-dessous</t>
    </r>
  </si>
  <si>
    <t xml:space="preserve">Tableau d'amortissement du prêt </t>
  </si>
  <si>
    <t>Outil de calcul de la durée des Amortissements</t>
  </si>
  <si>
    <r>
      <t>Commentaires :
D</t>
    </r>
    <r>
      <rPr>
        <sz val="12"/>
        <rFont val="Times New Roman"/>
        <family val="1"/>
      </rPr>
      <t>éterminer le montant de prêt, fixer la durée du prêt et le taux d'intérêt applicable</t>
    </r>
  </si>
  <si>
    <t>Taux d'amortissement</t>
  </si>
  <si>
    <t xml:space="preserve">Prix de vente
 moyen </t>
  </si>
  <si>
    <t xml:space="preserve">Quantité d'œufs
par litre </t>
  </si>
  <si>
    <t xml:space="preserve">Prix de vente 
au litre </t>
  </si>
  <si>
    <t xml:space="preserve">Quantité vendues /k litres </t>
  </si>
  <si>
    <r>
      <t xml:space="preserve">Commentaires :
</t>
    </r>
    <r>
      <rPr>
        <sz val="12"/>
        <rFont val="Times New Roman"/>
        <family val="1"/>
      </rPr>
      <t>Il convient de définir le prix de vente moyen, et déterminer la quantité vendue par année.</t>
    </r>
    <r>
      <rPr>
        <b/>
        <u/>
        <sz val="12"/>
        <rFont val="Times New Roman"/>
        <family val="1"/>
      </rPr>
      <t xml:space="preserve">
</t>
    </r>
    <r>
      <rPr>
        <sz val="12"/>
        <rFont val="Times New Roman"/>
        <family val="1"/>
      </rPr>
      <t xml:space="preserve">L'objectif est de permettre à l'expert-comptable d'adapter son prévisionnel en fonction des fluctuations du marché </t>
    </r>
  </si>
  <si>
    <r>
      <t xml:space="preserve">Consigne d'utilisation :
</t>
    </r>
    <r>
      <rPr>
        <sz val="12"/>
        <rFont val="Times New Roman"/>
        <family val="1"/>
      </rPr>
      <t>Compléter uniquement les cellules en "</t>
    </r>
    <r>
      <rPr>
        <b/>
        <sz val="12"/>
        <color rgb="FF7030A0"/>
        <rFont val="Times New Roman"/>
        <family val="1"/>
      </rPr>
      <t>Violet</t>
    </r>
    <r>
      <rPr>
        <sz val="12"/>
        <rFont val="Times New Roman"/>
        <family val="1"/>
      </rPr>
      <t>"</t>
    </r>
  </si>
  <si>
    <t>Quantités nécéssaires à la vente</t>
  </si>
  <si>
    <t xml:space="preserve">Achats consommés </t>
  </si>
  <si>
    <t xml:space="preserve">Outil de détermination des achats consommés  </t>
  </si>
  <si>
    <t xml:space="preserve">Outil de détermination du chiffre d'affaires </t>
  </si>
  <si>
    <t>quantite d'oeufs/litre</t>
  </si>
  <si>
    <t>Achats consommés en kDA</t>
  </si>
  <si>
    <t>Chiffre d'affaires en k DA</t>
  </si>
  <si>
    <r>
      <rPr>
        <b/>
        <u/>
        <sz val="12"/>
        <rFont val="Calibri"/>
        <family val="2"/>
        <scheme val="minor"/>
      </rPr>
      <t>Consigne d'utilisation :</t>
    </r>
    <r>
      <rPr>
        <b/>
        <sz val="12"/>
        <rFont val="Calibri"/>
        <family val="2"/>
        <scheme val="minor"/>
      </rPr>
      <t xml:space="preserve">
</t>
    </r>
    <r>
      <rPr>
        <sz val="12"/>
        <rFont val="Calibri"/>
        <family val="2"/>
        <scheme val="minor"/>
      </rPr>
      <t>Compléter uniquement les cellules en "</t>
    </r>
    <r>
      <rPr>
        <b/>
        <sz val="12"/>
        <color rgb="FF7030A0"/>
        <rFont val="Calibri"/>
        <family val="2"/>
        <scheme val="minor"/>
      </rPr>
      <t>Violet</t>
    </r>
    <r>
      <rPr>
        <sz val="12"/>
        <rFont val="Calibri"/>
        <family val="2"/>
        <scheme val="minor"/>
      </rPr>
      <t>"</t>
    </r>
  </si>
  <si>
    <t>Total des
 immobilisations</t>
  </si>
  <si>
    <t xml:space="preserve">Valeur 
d'origine </t>
  </si>
  <si>
    <t xml:space="preserve">Durée </t>
  </si>
  <si>
    <t>Montant 
mensualité</t>
  </si>
  <si>
    <t>Dont 
capital</t>
  </si>
  <si>
    <t>Dont 
intérêts</t>
  </si>
  <si>
    <t>Reste à 
rembourser (capital)</t>
  </si>
  <si>
    <t>Montant 
assurance</t>
  </si>
  <si>
    <t>Total 
échéance</t>
  </si>
  <si>
    <t>Détermination de l'IBS et autres taxes</t>
  </si>
  <si>
    <t>les sociétés qui déposent un dossier auprès de l'AAPI sont exonérées  de l'IBS 
et autres taxes et cotisations.</t>
  </si>
  <si>
    <t>Taux d'actualisation</t>
  </si>
  <si>
    <t xml:space="preserve">Investissement </t>
  </si>
  <si>
    <t xml:space="preserve">Ces ratios sont calculés sur l'hypothése: </t>
  </si>
  <si>
    <r>
      <rPr>
        <b/>
        <u/>
        <sz val="14"/>
        <color theme="1"/>
        <rFont val="Calibri"/>
        <family val="2"/>
        <scheme val="minor"/>
      </rPr>
      <t>consignes</t>
    </r>
    <r>
      <rPr>
        <b/>
        <sz val="14"/>
        <color theme="1"/>
        <rFont val="Calibri"/>
        <family val="2"/>
        <scheme val="minor"/>
      </rPr>
      <t xml:space="preserve"> : </t>
    </r>
    <r>
      <rPr>
        <sz val="14"/>
        <color theme="1"/>
        <rFont val="Calibri"/>
        <family val="2"/>
        <scheme val="minor"/>
      </rPr>
      <t>veuillez remplir les cellules en "</t>
    </r>
    <r>
      <rPr>
        <b/>
        <sz val="14"/>
        <color rgb="FF7030A0"/>
        <rFont val="Calibri"/>
        <family val="2"/>
        <scheme val="minor"/>
      </rPr>
      <t>Violet</t>
    </r>
    <r>
      <rPr>
        <sz val="14"/>
        <color theme="1"/>
        <rFont val="Calibri"/>
        <family val="2"/>
        <scheme val="minor"/>
      </rPr>
      <t>"</t>
    </r>
  </si>
  <si>
    <t>Outil de détermination de la VAN, TRI</t>
  </si>
  <si>
    <t>Effectif</t>
  </si>
  <si>
    <t>CDI</t>
  </si>
  <si>
    <t>CDD</t>
  </si>
  <si>
    <t>Salaire brut
 versé</t>
  </si>
  <si>
    <t xml:space="preserve">Stagiaire </t>
  </si>
  <si>
    <t>Stage</t>
  </si>
  <si>
    <t>Catégories</t>
  </si>
  <si>
    <t>N</t>
  </si>
  <si>
    <t>N+1</t>
  </si>
  <si>
    <t>N+2</t>
  </si>
  <si>
    <t>N+3</t>
  </si>
  <si>
    <t>N+4</t>
  </si>
  <si>
    <t xml:space="preserve">Outil de détermination des charges de personnel </t>
  </si>
  <si>
    <t>Salaire brut 
estimé</t>
  </si>
  <si>
    <t xml:space="preserve">Taux d'évolution des salaires </t>
  </si>
  <si>
    <t>Type de
 contrat</t>
  </si>
  <si>
    <t>Charges sociales</t>
  </si>
  <si>
    <t>Total masse salariales</t>
  </si>
  <si>
    <t>Aidé 
(CTA)</t>
  </si>
  <si>
    <t xml:space="preserve">Total des salaires 
 hors chargers </t>
  </si>
  <si>
    <r>
      <rPr>
        <b/>
        <u/>
        <sz val="12"/>
        <rFont val="Calibri"/>
        <family val="2"/>
        <scheme val="minor"/>
      </rPr>
      <t>Commentaires :</t>
    </r>
    <r>
      <rPr>
        <sz val="12"/>
        <rFont val="Calibri"/>
        <family val="2"/>
        <scheme val="minor"/>
      </rPr>
      <t xml:space="preserve">
Le taux d'évolution des salaires est justifié par l'augmentation du volume de production pour atteindre 100% de capacité de production.
L'objectif est de permettre à l'expert-comptable de justifier le coût de la masse salariale/</t>
    </r>
  </si>
  <si>
    <r>
      <rPr>
        <b/>
        <u/>
        <sz val="12"/>
        <rFont val="Calibri"/>
        <family val="2"/>
        <scheme val="minor"/>
      </rPr>
      <t>Consigne d'utilisation :</t>
    </r>
    <r>
      <rPr>
        <b/>
        <sz val="12"/>
        <rFont val="Calibri"/>
        <family val="2"/>
        <scheme val="minor"/>
      </rPr>
      <t xml:space="preserve">
</t>
    </r>
    <r>
      <rPr>
        <sz val="12"/>
        <rFont val="Calibri"/>
        <family val="2"/>
        <scheme val="minor"/>
      </rPr>
      <t>Compléter uniquement les cellules en "</t>
    </r>
    <r>
      <rPr>
        <b/>
        <sz val="12"/>
        <color rgb="FF7030A0"/>
        <rFont val="Calibri"/>
        <family val="2"/>
        <scheme val="minor"/>
      </rPr>
      <t>Violet</t>
    </r>
    <r>
      <rPr>
        <sz val="12"/>
        <rFont val="Calibri"/>
        <family val="2"/>
        <scheme val="minor"/>
      </rPr>
      <t>"</t>
    </r>
    <r>
      <rPr>
        <b/>
        <sz val="12"/>
        <rFont val="Calibri"/>
        <family val="2"/>
        <scheme val="minor"/>
      </rPr>
      <t xml:space="preserve">
-</t>
    </r>
    <r>
      <rPr>
        <b/>
        <sz val="12"/>
        <color rgb="FF002060"/>
        <rFont val="Calibri"/>
        <family val="2"/>
        <scheme val="minor"/>
      </rPr>
      <t xml:space="preserve"> En cas de recours au contrat aidé (CTA) , il conviendrait d'utiliser l'outil proposé en annexe 19 pour déterminer son coût</t>
    </r>
  </si>
  <si>
    <t>R net/ K propres</t>
  </si>
  <si>
    <t xml:space="preserve">REX/ K investi </t>
  </si>
  <si>
    <t xml:space="preserve">Détermination des indicateurs </t>
  </si>
  <si>
    <t xml:space="preserve">Rentabilité financiere  </t>
  </si>
  <si>
    <t xml:space="preserve">Rentabilité économique </t>
  </si>
  <si>
    <r>
      <rPr>
        <b/>
        <u/>
        <sz val="14"/>
        <color theme="1"/>
        <rFont val="Calibri"/>
        <family val="2"/>
        <scheme val="minor"/>
      </rPr>
      <t>Commentaire</t>
    </r>
    <r>
      <rPr>
        <b/>
        <sz val="14"/>
        <color theme="1"/>
        <rFont val="Calibri"/>
        <family val="2"/>
        <scheme val="minor"/>
      </rPr>
      <t xml:space="preserve"> : </t>
    </r>
    <r>
      <rPr>
        <sz val="14"/>
        <color theme="1"/>
        <rFont val="Calibri"/>
        <family val="2"/>
        <scheme val="minor"/>
      </rPr>
      <t xml:space="preserve">les indicateurs sont calculés automatiquement </t>
    </r>
  </si>
  <si>
    <t xml:space="preserve">Dans le cas de la société OVO X, les frais de creation et formaités sont comptabilisées en charge </t>
  </si>
  <si>
    <r>
      <t xml:space="preserve">Listez toutes les dépenses ou investissements que vous devrez faire </t>
    </r>
    <r>
      <rPr>
        <b/>
        <i/>
        <u/>
        <sz val="11"/>
        <color theme="1"/>
        <rFont val="Calibri"/>
        <family val="2"/>
        <scheme val="minor"/>
      </rPr>
      <t xml:space="preserve">avant même de démarrer l’activité, </t>
    </r>
    <r>
      <rPr>
        <b/>
        <i/>
        <u/>
        <sz val="11"/>
        <color rgb="FFFF0000"/>
        <rFont val="Calibri"/>
        <family val="2"/>
        <scheme val="minor"/>
      </rPr>
      <t>en hors taxes (ou TTC si vous n'êtes pas soumis à la TVA)</t>
    </r>
  </si>
  <si>
    <t>Quantités vendues/K litres</t>
  </si>
  <si>
    <t xml:space="preserve">Pour modifier les cellules, un mot de passe est éxigé </t>
  </si>
  <si>
    <t>Montant  hors taxes</t>
  </si>
  <si>
    <t xml:space="preserve">Présentation de l'outil </t>
  </si>
  <si>
    <t>Onglet</t>
  </si>
  <si>
    <t xml:space="preserve">Objectif et consignes d'utilisation </t>
  </si>
  <si>
    <t xml:space="preserve">Guide d'utilisation </t>
  </si>
  <si>
    <t xml:space="preserve">Explications permettant d'utiliser l'outil </t>
  </si>
  <si>
    <t xml:space="preserve">Données à saisir </t>
  </si>
  <si>
    <t>Plan financier
 à imprimer</t>
  </si>
  <si>
    <t>Amortissement des 
immobilisations</t>
  </si>
  <si>
    <t>Chiffres d'affaires</t>
  </si>
  <si>
    <t>Impots et taxes</t>
  </si>
  <si>
    <t>Van</t>
  </si>
  <si>
    <t>Indicateurs</t>
  </si>
  <si>
    <t xml:space="preserve">Onglet destiné au calcul de la CFE et de l'IBS </t>
  </si>
  <si>
    <t xml:space="preserve">Cet onglet permet d'afficher le plan financier, l'expert-comptable vérifie la viabilité des données avant de le présenter au client </t>
  </si>
  <si>
    <t>Cet onglet s'inscrit dans la même logique que l'onglet N°5.</t>
  </si>
  <si>
    <t>l'outil permet de déterminer les charges du personnel. 
L'expert-comptable doit faire attention au type de contrat, et utiliser si besoin l'outil proposé en Annexe 29 en cas de recours à un contrat de type CTA</t>
  </si>
  <si>
    <t>Permet de déterminer les mensualités et intérêts du prêt</t>
  </si>
  <si>
    <t>Récupère automatiquement les données de l'onglet N3 et calcule 
 automatiquement les Cash flows, VAN et le TRI</t>
  </si>
  <si>
    <t>Récupère automatiquement les données de l'onglet N3 et calcule 
 automatiquement les rentabilité financière et économique du projet</t>
  </si>
  <si>
    <t>Les données liées au projet seront saisies dans cet onglet qui permettra de générer automatiquement l'intégralités des éléments constituant le business plan.
Cet onglet récupère et exploite les données saisies dans les onglets N° 5-6-7-8 et 9.
les cellules Bleues sont à renseigner</t>
  </si>
  <si>
    <t xml:space="preserve">Phase préalable à l'onglet N°2 , Il permet de calculer la durée d'amortissement des immobilisations </t>
  </si>
  <si>
    <t>Cet onglet doit être renseigner avant l'onglet N° 2 , il permet de faire des simulation de chiffres d'affaires, l'expert-comptable identifie avec le client les différentes hypothèses liées au prix de vente</t>
  </si>
  <si>
    <r>
      <rPr>
        <b/>
        <u/>
        <sz val="12"/>
        <rFont val="Calibri"/>
        <family val="2"/>
        <scheme val="minor"/>
      </rPr>
      <t>Commentaires :</t>
    </r>
    <r>
      <rPr>
        <sz val="12"/>
        <rFont val="Calibri"/>
        <family val="2"/>
        <scheme val="minor"/>
      </rPr>
      <t xml:space="preserve">
Il convient de définir le prix de revient moyen en tenant compte du taux de marge de production, et déterminer la quantité vendue par année.
L'objectif est de permettre à l'expert-comptable d'adapter son prévisionnel en fonction des prix de l'oeuf sur le marché </t>
    </r>
  </si>
  <si>
    <r>
      <rPr>
        <b/>
        <u/>
        <sz val="12"/>
        <color theme="1"/>
        <rFont val="Calibri"/>
        <family val="2"/>
        <scheme val="minor"/>
      </rPr>
      <t>Remarque :</t>
    </r>
    <r>
      <rPr>
        <sz val="12"/>
        <color theme="1"/>
        <rFont val="Calibri"/>
        <family val="2"/>
        <scheme val="minor"/>
      </rPr>
      <t xml:space="preserve"> la réalisation du business plan se fait essentiellement sur </t>
    </r>
    <r>
      <rPr>
        <b/>
        <sz val="12"/>
        <color theme="1"/>
        <rFont val="Calibri"/>
        <family val="2"/>
        <scheme val="minor"/>
      </rPr>
      <t>l'onglet N° 2</t>
    </r>
    <r>
      <rPr>
        <sz val="12"/>
        <color theme="1"/>
        <rFont val="Calibri"/>
        <family val="2"/>
        <scheme val="minor"/>
      </rPr>
      <t xml:space="preserve"> "Données à saisir".
Avant de compléter cet Onglet, il conviendrait de renseigner d'abord les </t>
    </r>
    <r>
      <rPr>
        <b/>
        <sz val="12"/>
        <color theme="1"/>
        <rFont val="Calibri"/>
        <family val="2"/>
        <scheme val="minor"/>
      </rPr>
      <t>onglets N° 4-5-6-7-8-9</t>
    </r>
  </si>
  <si>
    <t>Frais bancaires</t>
  </si>
  <si>
    <t>Honoraires Expert comptable, avocats</t>
  </si>
  <si>
    <r>
      <rPr>
        <b/>
        <i/>
        <u/>
        <sz val="14"/>
        <color theme="7" tint="-0.249977111117893"/>
        <rFont val="Calibri"/>
        <family val="2"/>
        <scheme val="minor"/>
      </rPr>
      <t>Consignes d'utilisation :</t>
    </r>
    <r>
      <rPr>
        <b/>
        <i/>
        <sz val="14"/>
        <color theme="7" tint="-0.249977111117893"/>
        <rFont val="Calibri"/>
        <family val="2"/>
        <scheme val="minor"/>
      </rPr>
      <t xml:space="preserve">
Renseignez les cases en "</t>
    </r>
    <r>
      <rPr>
        <b/>
        <i/>
        <sz val="14"/>
        <color rgb="FF0070C0"/>
        <rFont val="Calibri"/>
        <family val="2"/>
        <scheme val="minor"/>
      </rPr>
      <t>Bleu</t>
    </r>
    <r>
      <rPr>
        <b/>
        <i/>
        <sz val="14"/>
        <color theme="7" tint="-0.249977111117893"/>
        <rFont val="Calibri"/>
        <family val="2"/>
        <scheme val="minor"/>
      </rPr>
      <t xml:space="preserve">" uniquement </t>
    </r>
  </si>
  <si>
    <t>Amortissement 
du prêt</t>
  </si>
  <si>
    <t>Charges de 
personnel</t>
  </si>
  <si>
    <t>Annexe 52 (outil ) : Business plan automatisé - Guide d'utilisation</t>
  </si>
  <si>
    <t>Dépot de garantie</t>
  </si>
  <si>
    <t>TRAVAUX</t>
  </si>
  <si>
    <t>1 371,48 €</t>
  </si>
  <si>
    <t>1 184,39 €</t>
  </si>
  <si>
    <t>53 575,00 €</t>
  </si>
  <si>
    <t>1 188,43 €</t>
  </si>
  <si>
    <t>52 387,00 €</t>
  </si>
  <si>
    <t>1 192,50 €</t>
  </si>
  <si>
    <t>51 194,00 €</t>
  </si>
  <si>
    <t>1 196,57 €</t>
  </si>
  <si>
    <t>49 998,00 €</t>
  </si>
  <si>
    <t>1 200,66 €</t>
  </si>
  <si>
    <t>48 797,00 €</t>
  </si>
  <si>
    <t>1 204,76 €</t>
  </si>
  <si>
    <t>47 592,00 €</t>
  </si>
  <si>
    <t>1 208,88 €</t>
  </si>
  <si>
    <t>46 383,00 €</t>
  </si>
  <si>
    <t>1 213,01 €</t>
  </si>
  <si>
    <t>45 170,00 €</t>
  </si>
  <si>
    <t>1 217,15 €</t>
  </si>
  <si>
    <t>43 953,00 €</t>
  </si>
  <si>
    <t>1 221,31 €</t>
  </si>
  <si>
    <t>42 732,00 €</t>
  </si>
  <si>
    <t>1 225,48 €</t>
  </si>
  <si>
    <t>41 506,00 €</t>
  </si>
  <si>
    <t>1 229,67 €</t>
  </si>
  <si>
    <t>40 277,00 €</t>
  </si>
  <si>
    <t>1 233,87 €</t>
  </si>
  <si>
    <t>39 043,00 €</t>
  </si>
  <si>
    <t>1 238,09 €</t>
  </si>
  <si>
    <t>37 805,00 €</t>
  </si>
  <si>
    <t>1 242,32 €</t>
  </si>
  <si>
    <t>36 563,00 €</t>
  </si>
  <si>
    <t>1 246,56 €</t>
  </si>
  <si>
    <t>35 316,00 €</t>
  </si>
  <si>
    <t>1 250,82 €</t>
  </si>
  <si>
    <t>34 065,00 €</t>
  </si>
  <si>
    <t>1 255,09 €</t>
  </si>
  <si>
    <t>32 810,00 €</t>
  </si>
  <si>
    <t>1 259,38 €</t>
  </si>
  <si>
    <t>31 551,00 €</t>
  </si>
  <si>
    <t>Divers frais de mise en service</t>
  </si>
  <si>
    <t>Frais d'établiseement</t>
  </si>
  <si>
    <t>1 441,75 €</t>
  </si>
  <si>
    <t>138 558,00 €</t>
  </si>
  <si>
    <t>1 920,08 €</t>
  </si>
  <si>
    <t>1 446,67 €</t>
  </si>
  <si>
    <t>137 112,00 €</t>
  </si>
  <si>
    <t>1 451,61 €</t>
  </si>
  <si>
    <t>135 660,00 €</t>
  </si>
  <si>
    <t>1 456,57 €</t>
  </si>
  <si>
    <t>134 203,00 €</t>
  </si>
  <si>
    <t>1 461,55 €</t>
  </si>
  <si>
    <t>132 742,00 €</t>
  </si>
  <si>
    <t>1 466,54 €</t>
  </si>
  <si>
    <t>131 275,00 €</t>
  </si>
  <si>
    <t>1 471,56 €</t>
  </si>
  <si>
    <t>129 804,00 €</t>
  </si>
  <si>
    <t>1 476,58 €</t>
  </si>
  <si>
    <t>128 327,00 €</t>
  </si>
  <si>
    <t>1 481,63 €</t>
  </si>
  <si>
    <t>126 845,00 €</t>
  </si>
  <si>
    <t>1 486,69 €</t>
  </si>
  <si>
    <t>125 359,00 €</t>
  </si>
  <si>
    <t>1 491,77 €</t>
  </si>
  <si>
    <t>123 867,00 €</t>
  </si>
  <si>
    <t>1 496,87 €</t>
  </si>
  <si>
    <t>122 370,00 €</t>
  </si>
  <si>
    <t>1 501,98 €</t>
  </si>
  <si>
    <t>120 868,00 €</t>
  </si>
  <si>
    <t>1 507,11 €</t>
  </si>
  <si>
    <t>119 361,00 €</t>
  </si>
  <si>
    <t>1 512,26 €</t>
  </si>
  <si>
    <t>117 849,00 €</t>
  </si>
  <si>
    <t>1 517,43 €</t>
  </si>
  <si>
    <t>116 331,00 €</t>
  </si>
  <si>
    <t>1 522,61 €</t>
  </si>
  <si>
    <t>114 809,00 €</t>
  </si>
  <si>
    <t>1 527,82 €</t>
  </si>
  <si>
    <t>113 281,00 €</t>
  </si>
  <si>
    <t>1 533,04 €</t>
  </si>
  <si>
    <t>111 748,00 €</t>
  </si>
  <si>
    <t>1 538,27 €</t>
  </si>
  <si>
    <t>110 210,00 €</t>
  </si>
  <si>
    <t>1 543,53 €</t>
  </si>
  <si>
    <t>108 666,00 €</t>
  </si>
  <si>
    <t>1 548,80 €</t>
  </si>
  <si>
    <t>107 117,00 €</t>
  </si>
  <si>
    <t>1 554,10 €</t>
  </si>
  <si>
    <t>105 563,00 €</t>
  </si>
  <si>
    <t>1 559,40 €</t>
  </si>
  <si>
    <t>104 004,00 €</t>
  </si>
  <si>
    <t>1 564,73 €</t>
  </si>
  <si>
    <t>102 439,00 €</t>
  </si>
  <si>
    <t>1 570,08 €</t>
  </si>
  <si>
    <t>100 869,00 €</t>
  </si>
  <si>
    <t>1 575,44 €</t>
  </si>
  <si>
    <t>99 293,00 €</t>
  </si>
  <si>
    <t>1 580,83 €</t>
  </si>
  <si>
    <t>97 713,00 €</t>
  </si>
  <si>
    <t>1 586,23 €</t>
  </si>
  <si>
    <t>96 126,00 €</t>
  </si>
  <si>
    <t>1 591,65 €</t>
  </si>
  <si>
    <t>94 535,00 €</t>
  </si>
  <si>
    <t>1 597,09 €</t>
  </si>
  <si>
    <t>92 938,00 €</t>
  </si>
  <si>
    <t>1 602,54 €</t>
  </si>
  <si>
    <t>91 335,00 €</t>
  </si>
  <si>
    <t>1 608,02 €</t>
  </si>
  <si>
    <t>89 727,00 €</t>
  </si>
  <si>
    <t>1 613,51 €</t>
  </si>
  <si>
    <t>88 114,00 €</t>
  </si>
  <si>
    <t>1 619,02 €</t>
  </si>
  <si>
    <t>86 495,00 €</t>
  </si>
  <si>
    <t>1 624,56 €</t>
  </si>
  <si>
    <t>84 870,00 €</t>
  </si>
  <si>
    <t>1 630,11 €</t>
  </si>
  <si>
    <t>83 240,00 €</t>
  </si>
  <si>
    <t>1 635,68 €</t>
  </si>
  <si>
    <t>81 604,00 €</t>
  </si>
  <si>
    <t>1 641,26 €</t>
  </si>
  <si>
    <t>79 963,00 €</t>
  </si>
  <si>
    <t>1 646,87 €</t>
  </si>
  <si>
    <t>78 316,00 €</t>
  </si>
  <si>
    <t>1 652,50 €</t>
  </si>
  <si>
    <t>76 664,00 €</t>
  </si>
  <si>
    <t>1 658,15 €</t>
  </si>
  <si>
    <t>75 005,00 €</t>
  </si>
  <si>
    <t>1 663,81 €</t>
  </si>
  <si>
    <t>73 342,00 €</t>
  </si>
  <si>
    <t>1 669,50 €</t>
  </si>
  <si>
    <t>71 672,00 €</t>
  </si>
  <si>
    <t>1 675,20 €</t>
  </si>
  <si>
    <t>69 997,00 €</t>
  </si>
  <si>
    <t>1 680,92 €</t>
  </si>
  <si>
    <t>68 316,00 €</t>
  </si>
  <si>
    <t>1 686,67 €</t>
  </si>
  <si>
    <t>66 629,00 €</t>
  </si>
  <si>
    <t>1 692,43 €</t>
  </si>
  <si>
    <t>64 937,00 €</t>
  </si>
  <si>
    <t>1 698,21 €</t>
  </si>
  <si>
    <t>63 239,00 €</t>
  </si>
  <si>
    <t>1 704,01 €</t>
  </si>
  <si>
    <t>61 535,00 €</t>
  </si>
  <si>
    <t>1 709,84 €</t>
  </si>
  <si>
    <t>59 825,00 €</t>
  </si>
  <si>
    <t>1 715,68 €</t>
  </si>
  <si>
    <t>58 109,00 €</t>
  </si>
  <si>
    <t>1 721,54 €</t>
  </si>
  <si>
    <t>56 388,00 €</t>
  </si>
  <si>
    <t>1 727,42 €</t>
  </si>
  <si>
    <t>54 660,00 €</t>
  </si>
  <si>
    <t>1 733,32 €</t>
  </si>
  <si>
    <t>52 927,00 €</t>
  </si>
  <si>
    <t>1 739,25 €</t>
  </si>
  <si>
    <t>51 188,00 €</t>
  </si>
  <si>
    <t>1 745,19 €</t>
  </si>
  <si>
    <t>49 442,00 €</t>
  </si>
  <si>
    <t>1 751,15 €</t>
  </si>
  <si>
    <t>47 691,00 €</t>
  </si>
  <si>
    <t>1 757,13 €</t>
  </si>
  <si>
    <t>45 934,00 €</t>
  </si>
  <si>
    <t>1 763,14 €</t>
  </si>
  <si>
    <t>44 171,00 €</t>
  </si>
  <si>
    <t>Mobilier et matériel informatique</t>
  </si>
  <si>
    <t xml:space="preserve">MALEK KAMEL </t>
  </si>
  <si>
    <t>06.86.27.18.97</t>
  </si>
  <si>
    <t>contact@egjstartp.fr</t>
  </si>
  <si>
    <t>116 AV FONTAINBLEAU 
94270 LE KREMLIN BICETRE</t>
  </si>
  <si>
    <t>Etude financière 
prévisionnelle sur 3 ans</t>
  </si>
  <si>
    <t>E.G.J</t>
  </si>
  <si>
    <t>Prêt n°1 (SOCIETE GENERALE)</t>
  </si>
  <si>
    <t>Prêt n°2 (SOCIETE GENERALE)</t>
  </si>
  <si>
    <t>Engins eu autres materiaux de construction</t>
  </si>
  <si>
    <t>Carburant</t>
  </si>
  <si>
    <t>Electricité</t>
  </si>
  <si>
    <t xml:space="preserve">Location de matériel </t>
  </si>
  <si>
    <t xml:space="preserve">PRESTATION DE SERVICES </t>
  </si>
  <si>
    <t>MATERIEL DE TRANSPORT</t>
  </si>
  <si>
    <t xml:space="preserve">Entretien matériel de transport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</si>
</sst>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0.00\ &quot;€&quot;;[Red]\-#,##0.00\ &quot;€&quot;"/>
    <numFmt numFmtId="44" formatCode="_-* #,##0.00\ &quot;€&quot;_-;\-* #,##0.00\ &quot;€&quot;_-;_-* &quot;-&quot;??\ &quot;€&quot;_-;_-@_-"/>
    <numFmt numFmtId="164" formatCode="_-* #,##0.00\ _€_-;\-* #,##0.00\ _€_-;_-* &quot;-&quot;??\ _€_-;_-@_-"/>
    <numFmt numFmtId="165" formatCode="0#&quot; &quot;##&quot; &quot;##&quot; &quot;##&quot; &quot;##"/>
    <numFmt numFmtId="166" formatCode="0.0%"/>
    <numFmt numFmtId="167" formatCode="0.&quot; &quot;##&quot; &quot;##&quot; &quot;##&quot; &quot;;############################################################################"/>
    <numFmt numFmtId="168" formatCode="#,##0.00\ \€;\-\ #,##0.00\ \€"/>
    <numFmt numFmtId="169" formatCode="0.00?%_)"/>
    <numFmt numFmtId="170" formatCode="0_)"/>
    <numFmt numFmtId="171" formatCode="dd/mm/yy;@"/>
    <numFmt numFmtId="172" formatCode="0.00_)"/>
    <numFmt numFmtId="173" formatCode="_-* #,##0.00\ [$DZD]_-;\-* #,##0.00\ [$DZD]_-;_-* &quot;-&quot;??\ [$DZD]_-;_-@_-"/>
    <numFmt numFmtId="174" formatCode="_-* #,##0\ _€_-;\-* #,##0\ _€_-;_-* &quot;-&quot;??\ _€_-;_-@_-"/>
    <numFmt numFmtId="175" formatCode="_-* #,##0.00\ [$€-40C]_-;\-* #,##0.00\ [$€-40C]_-;_-* &quot;-&quot;??\ [$€-40C]_-;_-@_-"/>
    <numFmt numFmtId="176" formatCode="_-* #,##0.0\ _€_-;\-* #,##0.0\ _€_-;_-* &quot;-&quot;??\ _€_-;_-@_-"/>
  </numFmts>
  <fonts count="107">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i/>
      <sz val="11"/>
      <color theme="1"/>
      <name val="Calibri"/>
      <family val="2"/>
      <scheme val="minor"/>
    </font>
    <font>
      <b/>
      <i/>
      <sz val="11"/>
      <color rgb="FFFF0000"/>
      <name val="Calibri"/>
      <family val="2"/>
      <scheme val="minor"/>
    </font>
    <font>
      <i/>
      <sz val="11"/>
      <color rgb="FFFF0000"/>
      <name val="Calibri"/>
      <family val="2"/>
      <scheme val="minor"/>
    </font>
    <font>
      <i/>
      <u/>
      <sz val="11"/>
      <color rgb="FFFF0000"/>
      <name val="Calibri"/>
      <family val="2"/>
      <scheme val="minor"/>
    </font>
    <font>
      <b/>
      <sz val="14"/>
      <color theme="9" tint="-0.499984740745262"/>
      <name val="Calibri"/>
      <family val="2"/>
      <scheme val="minor"/>
    </font>
    <font>
      <b/>
      <sz val="11"/>
      <name val="Calibri"/>
      <family val="2"/>
      <scheme val="minor"/>
    </font>
    <font>
      <b/>
      <sz val="11"/>
      <color rgb="FFFF0000"/>
      <name val="Calibri"/>
      <family val="2"/>
      <scheme val="minor"/>
    </font>
    <font>
      <b/>
      <sz val="12"/>
      <color theme="9" tint="-0.499984740745262"/>
      <name val="Calibri"/>
      <family val="2"/>
      <scheme val="minor"/>
    </font>
    <font>
      <i/>
      <sz val="11"/>
      <name val="Calibri"/>
      <family val="2"/>
      <scheme val="minor"/>
    </font>
    <font>
      <b/>
      <sz val="20"/>
      <color theme="1"/>
      <name val="Calibri"/>
      <family val="2"/>
      <scheme val="minor"/>
    </font>
    <font>
      <b/>
      <sz val="26"/>
      <color theme="1"/>
      <name val="Calibri"/>
      <family val="2"/>
      <scheme val="minor"/>
    </font>
    <font>
      <u/>
      <sz val="11"/>
      <color theme="10"/>
      <name val="Calibri"/>
      <family val="2"/>
      <scheme val="minor"/>
    </font>
    <font>
      <b/>
      <sz val="34"/>
      <color theme="1"/>
      <name val="Calibri"/>
      <family val="2"/>
      <scheme val="minor"/>
    </font>
    <font>
      <b/>
      <sz val="24"/>
      <color rgb="FFC75F09"/>
      <name val="Calibri"/>
      <family val="2"/>
      <scheme val="minor"/>
    </font>
    <font>
      <b/>
      <i/>
      <sz val="16"/>
      <name val="Calibri"/>
      <family val="2"/>
      <scheme val="minor"/>
    </font>
    <font>
      <b/>
      <i/>
      <sz val="11"/>
      <color theme="1"/>
      <name val="Calibri"/>
      <family val="2"/>
      <scheme val="minor"/>
    </font>
    <font>
      <b/>
      <u/>
      <sz val="14"/>
      <color rgb="FFFF0000"/>
      <name val="Calibri"/>
      <family val="2"/>
      <scheme val="minor"/>
    </font>
    <font>
      <b/>
      <i/>
      <sz val="11"/>
      <color theme="3" tint="0.59999389629810485"/>
      <name val="Calibri"/>
      <family val="2"/>
      <scheme val="minor"/>
    </font>
    <font>
      <sz val="9"/>
      <color theme="1"/>
      <name val="Calibri"/>
      <family val="2"/>
      <scheme val="minor"/>
    </font>
    <font>
      <i/>
      <sz val="10"/>
      <color theme="1"/>
      <name val="Calibri"/>
      <family val="2"/>
      <scheme val="minor"/>
    </font>
    <font>
      <i/>
      <sz val="10"/>
      <name val="Calibri"/>
      <family val="2"/>
      <scheme val="minor"/>
    </font>
    <font>
      <sz val="12"/>
      <name val="Tahoma"/>
      <family val="2"/>
    </font>
    <font>
      <b/>
      <sz val="14"/>
      <name val="Tahoma"/>
      <family val="2"/>
    </font>
    <font>
      <b/>
      <sz val="11"/>
      <color theme="0"/>
      <name val="Calibri"/>
      <family val="2"/>
      <scheme val="minor"/>
    </font>
    <font>
      <sz val="11"/>
      <color theme="0"/>
      <name val="Calibri"/>
      <family val="2"/>
      <scheme val="minor"/>
    </font>
    <font>
      <i/>
      <u/>
      <sz val="10"/>
      <color theme="1"/>
      <name val="Calibri"/>
      <family val="2"/>
      <scheme val="minor"/>
    </font>
    <font>
      <b/>
      <i/>
      <sz val="14"/>
      <color theme="1"/>
      <name val="Calibri"/>
      <family val="2"/>
      <scheme val="minor"/>
    </font>
    <font>
      <i/>
      <sz val="9"/>
      <color theme="1"/>
      <name val="Calibri"/>
      <family val="2"/>
      <scheme val="minor"/>
    </font>
    <font>
      <b/>
      <i/>
      <u/>
      <sz val="11"/>
      <color rgb="FFFF0000"/>
      <name val="Calibri"/>
      <family val="2"/>
      <scheme val="minor"/>
    </font>
    <font>
      <b/>
      <u/>
      <sz val="16"/>
      <color theme="10"/>
      <name val="Calibri"/>
      <family val="2"/>
      <scheme val="minor"/>
    </font>
    <font>
      <sz val="16"/>
      <color theme="10"/>
      <name val="Calibri"/>
      <family val="2"/>
      <scheme val="minor"/>
    </font>
    <font>
      <b/>
      <i/>
      <sz val="12"/>
      <color theme="6" tint="-0.249977111117893"/>
      <name val="Calibri"/>
      <family val="2"/>
      <scheme val="minor"/>
    </font>
    <font>
      <b/>
      <i/>
      <sz val="11"/>
      <color rgb="FFC00000"/>
      <name val="Calibri"/>
      <family val="2"/>
      <scheme val="minor"/>
    </font>
    <font>
      <sz val="11"/>
      <color rgb="FFC00000"/>
      <name val="Calibri"/>
      <family val="2"/>
      <scheme val="minor"/>
    </font>
    <font>
      <b/>
      <u/>
      <sz val="20"/>
      <color theme="0"/>
      <name val="Calibri"/>
      <family val="2"/>
      <scheme val="minor"/>
    </font>
    <font>
      <b/>
      <sz val="20"/>
      <color rgb="FFFF0000"/>
      <name val="Calibri"/>
      <family val="2"/>
      <scheme val="minor"/>
    </font>
    <font>
      <b/>
      <u/>
      <sz val="20"/>
      <color rgb="FFFF0000"/>
      <name val="Calibri"/>
      <family val="2"/>
      <scheme val="minor"/>
    </font>
    <font>
      <sz val="10"/>
      <color theme="1"/>
      <name val="Calibri"/>
      <family val="2"/>
      <scheme val="minor"/>
    </font>
    <font>
      <b/>
      <u/>
      <sz val="14"/>
      <color theme="1"/>
      <name val="Calibri"/>
      <family val="2"/>
      <scheme val="minor"/>
    </font>
    <font>
      <sz val="11"/>
      <name val="Calibri"/>
      <family val="2"/>
      <scheme val="minor"/>
    </font>
    <font>
      <b/>
      <sz val="10.5"/>
      <color theme="1"/>
      <name val="Calibri"/>
      <family val="2"/>
      <scheme val="minor"/>
    </font>
    <font>
      <sz val="10.5"/>
      <color theme="1"/>
      <name val="Calibri"/>
      <family val="2"/>
      <scheme val="minor"/>
    </font>
    <font>
      <i/>
      <sz val="10.5"/>
      <color theme="1"/>
      <name val="Calibri"/>
      <family val="2"/>
      <scheme val="minor"/>
    </font>
    <font>
      <b/>
      <i/>
      <sz val="10.5"/>
      <color theme="1"/>
      <name val="Calibri"/>
      <family val="2"/>
      <scheme val="minor"/>
    </font>
    <font>
      <b/>
      <sz val="10"/>
      <color theme="1"/>
      <name val="Calibri"/>
      <family val="2"/>
      <scheme val="minor"/>
    </font>
    <font>
      <sz val="8"/>
      <color theme="1"/>
      <name val="Calibri"/>
      <family val="2"/>
      <scheme val="minor"/>
    </font>
    <font>
      <b/>
      <sz val="8"/>
      <color theme="1"/>
      <name val="Calibri"/>
      <family val="2"/>
      <scheme val="minor"/>
    </font>
    <font>
      <b/>
      <i/>
      <sz val="11"/>
      <name val="Calibri"/>
      <family val="2"/>
      <scheme val="minor"/>
    </font>
    <font>
      <sz val="11"/>
      <color theme="3" tint="0.39997558519241921"/>
      <name val="Calibri"/>
      <family val="2"/>
      <scheme val="minor"/>
    </font>
    <font>
      <b/>
      <sz val="11"/>
      <color theme="3" tint="0.39997558519241921"/>
      <name val="Calibri"/>
      <family val="2"/>
      <scheme val="minor"/>
    </font>
    <font>
      <b/>
      <sz val="14"/>
      <color rgb="FFC00000"/>
      <name val="Calibri"/>
      <family val="2"/>
      <scheme val="minor"/>
    </font>
    <font>
      <b/>
      <u/>
      <sz val="14"/>
      <color rgb="FFC00000"/>
      <name val="Calibri"/>
      <family val="2"/>
      <scheme val="minor"/>
    </font>
    <font>
      <b/>
      <i/>
      <sz val="14"/>
      <color theme="7" tint="-0.249977111117893"/>
      <name val="Calibri"/>
      <family val="2"/>
      <scheme val="minor"/>
    </font>
    <font>
      <sz val="16"/>
      <color theme="1"/>
      <name val="Calibri"/>
      <family val="2"/>
      <scheme val="minor"/>
    </font>
    <font>
      <sz val="10"/>
      <name val="Arial"/>
      <family val="2"/>
    </font>
    <font>
      <sz val="10"/>
      <name val="Trebuchet MS"/>
      <family val="2"/>
    </font>
    <font>
      <b/>
      <sz val="10"/>
      <name val="Trebuchet MS"/>
      <family val="2"/>
    </font>
    <font>
      <b/>
      <sz val="16"/>
      <color rgb="FFFF0000"/>
      <name val="Calibri"/>
      <family val="2"/>
      <scheme val="minor"/>
    </font>
    <font>
      <sz val="9"/>
      <name val="Book Antiqua"/>
      <family val="1"/>
    </font>
    <font>
      <b/>
      <sz val="9"/>
      <color theme="3" tint="-0.499984740745262"/>
      <name val="Book Antiqua"/>
      <family val="1"/>
    </font>
    <font>
      <b/>
      <i/>
      <sz val="9"/>
      <color indexed="8"/>
      <name val="Book Antiqua"/>
      <family val="1"/>
    </font>
    <font>
      <sz val="11"/>
      <color indexed="8"/>
      <name val="Calibri"/>
      <family val="2"/>
    </font>
    <font>
      <b/>
      <sz val="9"/>
      <color indexed="8"/>
      <name val="Book Antiqua"/>
      <family val="1"/>
    </font>
    <font>
      <b/>
      <i/>
      <sz val="9"/>
      <name val="Book Antiqua"/>
      <family val="1"/>
    </font>
    <font>
      <sz val="10"/>
      <name val="Book Antiqua"/>
      <family val="1"/>
    </font>
    <font>
      <sz val="10"/>
      <name val="Arial"/>
      <family val="2"/>
    </font>
    <font>
      <u/>
      <sz val="10"/>
      <color indexed="12"/>
      <name val="Arial"/>
      <family val="2"/>
    </font>
    <font>
      <sz val="11"/>
      <color rgb="FF7030A0"/>
      <name val="Calibri"/>
      <family val="2"/>
      <scheme val="minor"/>
    </font>
    <font>
      <b/>
      <sz val="14"/>
      <color rgb="FF7030A0"/>
      <name val="Calibri"/>
      <family val="2"/>
      <scheme val="minor"/>
    </font>
    <font>
      <b/>
      <sz val="16"/>
      <color rgb="FF7030A0"/>
      <name val="Calibri"/>
      <family val="2"/>
      <scheme val="minor"/>
    </font>
    <font>
      <b/>
      <sz val="14"/>
      <color theme="1"/>
      <name val="Arial"/>
      <family val="2"/>
    </font>
    <font>
      <b/>
      <u/>
      <sz val="12"/>
      <name val="Times New Roman"/>
      <family val="1"/>
    </font>
    <font>
      <sz val="12"/>
      <name val="Times New Roman"/>
      <family val="1"/>
    </font>
    <font>
      <b/>
      <sz val="14"/>
      <color rgb="FF7030A0"/>
      <name val="Times New Roman"/>
      <family val="1"/>
    </font>
    <font>
      <b/>
      <sz val="14"/>
      <color theme="1"/>
      <name val="Times New Roman"/>
      <family val="1"/>
    </font>
    <font>
      <b/>
      <sz val="12"/>
      <color theme="1"/>
      <name val="Tim4"/>
    </font>
    <font>
      <sz val="12"/>
      <color theme="1"/>
      <name val="Times New Roman"/>
      <family val="1"/>
    </font>
    <font>
      <b/>
      <sz val="12"/>
      <color theme="1"/>
      <name val="Times New Roman"/>
      <family val="1"/>
    </font>
    <font>
      <b/>
      <sz val="16"/>
      <color theme="1"/>
      <name val="Times New Roman"/>
      <family val="1"/>
    </font>
    <font>
      <b/>
      <sz val="12"/>
      <color rgb="FF7030A0"/>
      <name val="Times New Roman"/>
      <family val="1"/>
    </font>
    <font>
      <sz val="14"/>
      <name val="Calibri"/>
      <family val="2"/>
      <scheme val="minor"/>
    </font>
    <font>
      <b/>
      <sz val="16"/>
      <name val="Calibri"/>
      <family val="2"/>
      <scheme val="minor"/>
    </font>
    <font>
      <b/>
      <sz val="12"/>
      <name val="Calibri"/>
      <family val="2"/>
      <scheme val="minor"/>
    </font>
    <font>
      <sz val="12"/>
      <name val="Calibri"/>
      <family val="2"/>
      <scheme val="minor"/>
    </font>
    <font>
      <sz val="14"/>
      <color theme="1"/>
      <name val="Calibri"/>
      <family val="2"/>
      <scheme val="minor"/>
    </font>
    <font>
      <b/>
      <u/>
      <sz val="12"/>
      <name val="Calibri"/>
      <family val="2"/>
      <scheme val="minor"/>
    </font>
    <font>
      <b/>
      <sz val="12"/>
      <color rgb="FF7030A0"/>
      <name val="Calibri"/>
      <family val="2"/>
      <scheme val="minor"/>
    </font>
    <font>
      <b/>
      <sz val="12"/>
      <color theme="1"/>
      <name val="Garamond"/>
      <family val="1"/>
    </font>
    <font>
      <b/>
      <sz val="9"/>
      <color indexed="8"/>
      <name val="Calibri"/>
      <family val="2"/>
      <scheme val="minor"/>
    </font>
    <font>
      <sz val="12"/>
      <name val="Book Antiqua"/>
      <family val="1"/>
    </font>
    <font>
      <b/>
      <sz val="12"/>
      <name val="Book Antiqua"/>
      <family val="1"/>
    </font>
    <font>
      <b/>
      <sz val="12"/>
      <color rgb="FF002060"/>
      <name val="Calibri"/>
      <family val="2"/>
      <scheme val="minor"/>
    </font>
    <font>
      <b/>
      <sz val="16"/>
      <color rgb="FF00B050"/>
      <name val="Calibri"/>
      <family val="2"/>
      <scheme val="minor"/>
    </font>
    <font>
      <b/>
      <i/>
      <u/>
      <sz val="11"/>
      <color theme="1"/>
      <name val="Calibri"/>
      <family val="2"/>
      <scheme val="minor"/>
    </font>
    <font>
      <sz val="18"/>
      <color theme="1"/>
      <name val="Calibri"/>
      <family val="2"/>
      <scheme val="minor"/>
    </font>
    <font>
      <sz val="12"/>
      <color theme="1"/>
      <name val="Calibri"/>
      <family val="2"/>
      <scheme val="minor"/>
    </font>
    <font>
      <b/>
      <i/>
      <u/>
      <sz val="14"/>
      <color theme="7" tint="-0.249977111117893"/>
      <name val="Calibri"/>
      <family val="2"/>
      <scheme val="minor"/>
    </font>
    <font>
      <b/>
      <u/>
      <sz val="12"/>
      <color theme="1"/>
      <name val="Calibri"/>
      <family val="2"/>
      <scheme val="minor"/>
    </font>
    <font>
      <b/>
      <i/>
      <sz val="14"/>
      <color rgb="FF0070C0"/>
      <name val="Calibri"/>
      <family val="2"/>
      <scheme val="minor"/>
    </font>
    <font>
      <sz val="9"/>
      <color rgb="FF333333"/>
      <name val="Open Sans"/>
      <family val="2"/>
    </font>
  </fonts>
  <fills count="2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8EAADB"/>
        <bgColor indexed="64"/>
      </patternFill>
    </fill>
    <fill>
      <patternFill patternType="solid">
        <fgColor indexed="9"/>
        <bgColor indexed="64"/>
      </patternFill>
    </fill>
    <fill>
      <patternFill patternType="solid">
        <fgColor indexed="22"/>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DCC5ED"/>
        <bgColor indexed="64"/>
      </patternFill>
    </fill>
    <fill>
      <patternFill patternType="solid">
        <fgColor theme="7" tint="0.59999389629810485"/>
        <bgColor indexed="64"/>
      </patternFill>
    </fill>
    <fill>
      <patternFill patternType="solid">
        <fgColor rgb="FFFFC000"/>
        <bgColor indexed="64"/>
      </patternFill>
    </fill>
    <fill>
      <patternFill patternType="solid">
        <fgColor rgb="FF71FFB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rgb="FFE9EDC9"/>
        <bgColor indexed="64"/>
      </patternFill>
    </fill>
    <fill>
      <patternFill patternType="solid">
        <fgColor theme="8" tint="0.59999389629810485"/>
        <bgColor indexed="64"/>
      </patternFill>
    </fill>
    <fill>
      <patternFill patternType="solid">
        <fgColor rgb="FF43AEFF"/>
        <bgColor indexed="64"/>
      </patternFill>
    </fill>
    <fill>
      <patternFill patternType="solid">
        <fgColor theme="9" tint="0.39997558519241921"/>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E5EEF3"/>
        <bgColor indexed="64"/>
      </patternFill>
    </fill>
  </fills>
  <borders count="92">
    <border>
      <left/>
      <right/>
      <top/>
      <bottom/>
      <diagonal/>
    </border>
    <border>
      <left/>
      <right style="dotted">
        <color auto="1"/>
      </right>
      <top/>
      <bottom/>
      <diagonal/>
    </border>
    <border>
      <left style="dotted">
        <color auto="1"/>
      </left>
      <right style="dotted">
        <color auto="1"/>
      </right>
      <top/>
      <bottom/>
      <diagonal/>
    </border>
    <border>
      <left style="dotted">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auto="1"/>
      </left>
      <right style="thin">
        <color auto="1"/>
      </right>
      <top/>
      <bottom/>
      <diagonal/>
    </border>
    <border>
      <left style="dotted">
        <color auto="1"/>
      </left>
      <right style="thin">
        <color auto="1"/>
      </right>
      <top/>
      <bottom style="thin">
        <color indexed="64"/>
      </bottom>
      <diagonal/>
    </border>
    <border>
      <left style="dotted">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diagonal/>
    </border>
    <border>
      <left style="dotted">
        <color indexed="64"/>
      </left>
      <right/>
      <top style="thin">
        <color indexed="64"/>
      </top>
      <bottom style="thin">
        <color indexed="64"/>
      </bottom>
      <diagonal/>
    </border>
    <border>
      <left style="dotted">
        <color indexed="64"/>
      </left>
      <right/>
      <top/>
      <bottom style="thin">
        <color indexed="64"/>
      </bottom>
      <diagonal/>
    </border>
    <border>
      <left/>
      <right style="dotted">
        <color indexed="64"/>
      </right>
      <top style="thin">
        <color indexed="64"/>
      </top>
      <bottom/>
      <diagonal/>
    </border>
    <border>
      <left/>
      <right style="dotted">
        <color indexed="64"/>
      </right>
      <top/>
      <bottom style="thin">
        <color indexed="64"/>
      </bottom>
      <diagonal/>
    </border>
    <border>
      <left style="dotted">
        <color indexed="64"/>
      </left>
      <right style="thin">
        <color indexed="64"/>
      </right>
      <top style="thin">
        <color indexed="64"/>
      </top>
      <bottom/>
      <diagonal/>
    </border>
    <border>
      <left style="thin">
        <color indexed="64"/>
      </left>
      <right style="dotted">
        <color indexed="64"/>
      </right>
      <top style="thin">
        <color indexed="64"/>
      </top>
      <bottom style="thin">
        <color indexed="64"/>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style="dotted">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hair">
        <color indexed="16"/>
      </left>
      <right/>
      <top style="hair">
        <color indexed="16"/>
      </top>
      <bottom style="hair">
        <color indexed="16"/>
      </bottom>
      <diagonal/>
    </border>
    <border>
      <left/>
      <right/>
      <top style="hair">
        <color indexed="16"/>
      </top>
      <bottom style="hair">
        <color indexed="16"/>
      </bottom>
      <diagonal/>
    </border>
    <border>
      <left/>
      <right style="hair">
        <color indexed="16"/>
      </right>
      <top style="hair">
        <color indexed="16"/>
      </top>
      <bottom style="hair">
        <color indexed="16"/>
      </bottom>
      <diagonal/>
    </border>
    <border>
      <left style="hair">
        <color indexed="16"/>
      </left>
      <right/>
      <top/>
      <bottom/>
      <diagonal/>
    </border>
    <border>
      <left style="hair">
        <color indexed="16"/>
      </left>
      <right style="hair">
        <color indexed="16"/>
      </right>
      <top/>
      <bottom style="hair">
        <color indexed="16"/>
      </bottom>
      <diagonal/>
    </border>
    <border>
      <left style="hair">
        <color indexed="16"/>
      </left>
      <right style="hair">
        <color indexed="16"/>
      </right>
      <top style="hair">
        <color indexed="16"/>
      </top>
      <bottom style="hair">
        <color indexed="16"/>
      </bottom>
      <diagonal/>
    </border>
    <border>
      <left style="hair">
        <color indexed="16"/>
      </left>
      <right/>
      <top/>
      <bottom style="hair">
        <color indexed="16"/>
      </bottom>
      <diagonal/>
    </border>
    <border>
      <left/>
      <right/>
      <top/>
      <bottom style="hair">
        <color indexed="16"/>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auto="1"/>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auto="1"/>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auto="1"/>
      </left>
      <right/>
      <top/>
      <bottom style="thin">
        <color rgb="FF000000"/>
      </bottom>
      <diagonal/>
    </border>
    <border>
      <left/>
      <right/>
      <top/>
      <bottom style="thin">
        <color rgb="FF000000"/>
      </bottom>
      <diagonal/>
    </border>
    <border>
      <left/>
      <right style="thin">
        <color indexed="64"/>
      </right>
      <top/>
      <bottom style="thin">
        <color rgb="FF000000"/>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xf numFmtId="44" fontId="1" fillId="0" borderId="0" applyFont="0" applyFill="0" applyBorder="0" applyAlignment="0" applyProtection="0"/>
    <xf numFmtId="0" fontId="61" fillId="0" borderId="0" applyFont="0" applyFill="0" applyBorder="0" applyAlignment="0" applyProtection="0"/>
    <xf numFmtId="0" fontId="61" fillId="0" borderId="0"/>
    <xf numFmtId="0" fontId="1" fillId="0" borderId="0"/>
    <xf numFmtId="164" fontId="68" fillId="0" borderId="0" applyFont="0" applyFill="0" applyBorder="0" applyAlignment="0" applyProtection="0"/>
    <xf numFmtId="0" fontId="72" fillId="0" borderId="0"/>
    <xf numFmtId="164" fontId="61" fillId="0" borderId="0" applyFont="0" applyFill="0" applyBorder="0" applyAlignment="0" applyProtection="0"/>
    <xf numFmtId="0" fontId="73" fillId="0" borderId="0" applyNumberFormat="0" applyFill="0" applyBorder="0" applyAlignment="0" applyProtection="0">
      <alignment vertical="top"/>
      <protection locked="0"/>
    </xf>
  </cellStyleXfs>
  <cellXfs count="773">
    <xf numFmtId="0" fontId="0" fillId="0" borderId="0" xfId="0"/>
    <xf numFmtId="0" fontId="2" fillId="0" borderId="0" xfId="0" applyFont="1"/>
    <xf numFmtId="0" fontId="3" fillId="0" borderId="0" xfId="0" applyFont="1"/>
    <xf numFmtId="0" fontId="7" fillId="0" borderId="0" xfId="0" applyFont="1"/>
    <xf numFmtId="0" fontId="7" fillId="0" borderId="0" xfId="0" applyFont="1" applyAlignment="1">
      <alignment horizontal="left" indent="3"/>
    </xf>
    <xf numFmtId="0" fontId="7" fillId="0" borderId="0" xfId="0" applyFont="1" applyAlignment="1">
      <alignment horizontal="left" indent="2"/>
    </xf>
    <xf numFmtId="0" fontId="7" fillId="0" borderId="0" xfId="0" applyFont="1" applyAlignment="1">
      <alignment horizontal="left" indent="4"/>
    </xf>
    <xf numFmtId="0" fontId="9" fillId="0" borderId="0" xfId="0" applyFont="1" applyAlignment="1">
      <alignment horizontal="left" indent="4"/>
    </xf>
    <xf numFmtId="0" fontId="2" fillId="0" borderId="0" xfId="0" applyFont="1" applyAlignment="1">
      <alignment horizontal="right"/>
    </xf>
    <xf numFmtId="0" fontId="2" fillId="0" borderId="0" xfId="0" applyFont="1" applyAlignment="1">
      <alignment horizontal="right" indent="1"/>
    </xf>
    <xf numFmtId="17" fontId="0" fillId="0" borderId="0" xfId="0" applyNumberFormat="1" applyAlignment="1">
      <alignment horizontal="left" indent="17"/>
    </xf>
    <xf numFmtId="0" fontId="2" fillId="0" borderId="0" xfId="0" applyFont="1" applyAlignment="1">
      <alignment horizontal="right" vertical="center" wrapText="1"/>
    </xf>
    <xf numFmtId="0" fontId="2" fillId="0" borderId="0" xfId="0" applyFont="1" applyAlignment="1">
      <alignment horizontal="left" indent="25"/>
    </xf>
    <xf numFmtId="0" fontId="11" fillId="0" borderId="0" xfId="0" applyFont="1"/>
    <xf numFmtId="0" fontId="14" fillId="0" borderId="4" xfId="0" applyFont="1" applyBorder="1" applyAlignment="1">
      <alignment horizontal="center"/>
    </xf>
    <xf numFmtId="0" fontId="8" fillId="0" borderId="0" xfId="0" applyFont="1" applyAlignment="1">
      <alignment horizontal="left" indent="1"/>
    </xf>
    <xf numFmtId="0" fontId="3" fillId="0" borderId="0" xfId="0" applyFont="1" applyAlignment="1">
      <alignment horizontal="left" indent="1"/>
    </xf>
    <xf numFmtId="0" fontId="3" fillId="0" borderId="0" xfId="0" applyFont="1" applyAlignment="1">
      <alignment horizontal="left" indent="2"/>
    </xf>
    <xf numFmtId="0" fontId="4" fillId="0" borderId="0" xfId="0" applyFont="1" applyAlignment="1">
      <alignment vertical="center"/>
    </xf>
    <xf numFmtId="0" fontId="17" fillId="0" borderId="0" xfId="0" applyFont="1" applyAlignment="1">
      <alignment horizontal="center" vertical="center"/>
    </xf>
    <xf numFmtId="0" fontId="5" fillId="0" borderId="0" xfId="0" applyFont="1" applyAlignment="1">
      <alignment horizontal="center"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0" fillId="0" borderId="22" xfId="0" applyBorder="1"/>
    <xf numFmtId="0" fontId="0" fillId="0" borderId="23" xfId="0" applyBorder="1"/>
    <xf numFmtId="0" fontId="0" fillId="0" borderId="28" xfId="0" applyBorder="1"/>
    <xf numFmtId="0" fontId="0" fillId="0" borderId="26" xfId="0" applyBorder="1"/>
    <xf numFmtId="0" fontId="2" fillId="0" borderId="28" xfId="0" applyFont="1" applyBorder="1"/>
    <xf numFmtId="0" fontId="2" fillId="0" borderId="28" xfId="0" applyFont="1" applyBorder="1" applyAlignment="1">
      <alignment horizontal="left" indent="1"/>
    </xf>
    <xf numFmtId="0" fontId="0" fillId="0" borderId="28" xfId="0" applyBorder="1" applyAlignment="1">
      <alignment horizontal="left" indent="3"/>
    </xf>
    <xf numFmtId="164" fontId="0" fillId="0" borderId="30" xfId="1" applyFont="1" applyBorder="1"/>
    <xf numFmtId="164" fontId="0" fillId="0" borderId="32" xfId="1" applyFont="1" applyBorder="1"/>
    <xf numFmtId="0" fontId="7" fillId="0" borderId="28" xfId="0" applyFont="1" applyBorder="1" applyAlignment="1">
      <alignment horizontal="left" indent="3"/>
    </xf>
    <xf numFmtId="0" fontId="0" fillId="0" borderId="25" xfId="0" applyBorder="1" applyAlignment="1">
      <alignment horizontal="left" indent="3"/>
    </xf>
    <xf numFmtId="0" fontId="2" fillId="0" borderId="26" xfId="0" applyFont="1" applyBorder="1"/>
    <xf numFmtId="164" fontId="0" fillId="0" borderId="0" xfId="1" applyFont="1" applyFill="1" applyBorder="1"/>
    <xf numFmtId="0" fontId="2" fillId="0" borderId="0" xfId="0" applyFont="1" applyAlignment="1">
      <alignment vertical="center"/>
    </xf>
    <xf numFmtId="0" fontId="2" fillId="0" borderId="22" xfId="0" applyFont="1" applyBorder="1"/>
    <xf numFmtId="0" fontId="2" fillId="0" borderId="23" xfId="0" applyFont="1" applyBorder="1" applyAlignment="1">
      <alignment vertical="center"/>
    </xf>
    <xf numFmtId="164" fontId="2" fillId="0" borderId="27" xfId="1" applyFont="1" applyFill="1" applyBorder="1"/>
    <xf numFmtId="164" fontId="0" fillId="0" borderId="2" xfId="1" applyFont="1" applyFill="1" applyBorder="1"/>
    <xf numFmtId="164" fontId="2" fillId="0" borderId="36" xfId="1" applyFont="1" applyFill="1" applyBorder="1"/>
    <xf numFmtId="164" fontId="0" fillId="0" borderId="36" xfId="1" applyFont="1" applyFill="1" applyBorder="1"/>
    <xf numFmtId="0" fontId="2" fillId="2" borderId="33" xfId="0" applyFont="1" applyFill="1" applyBorder="1"/>
    <xf numFmtId="0" fontId="0" fillId="2" borderId="37" xfId="0" applyFill="1" applyBorder="1"/>
    <xf numFmtId="164" fontId="7" fillId="0" borderId="28" xfId="0" applyNumberFormat="1" applyFont="1" applyBorder="1" applyAlignment="1">
      <alignment horizontal="left" indent="3"/>
    </xf>
    <xf numFmtId="0" fontId="2" fillId="0" borderId="28" xfId="0" applyFont="1" applyBorder="1" applyAlignment="1">
      <alignment horizontal="left" vertical="center" indent="1"/>
    </xf>
    <xf numFmtId="164" fontId="0" fillId="0" borderId="1" xfId="1" applyFont="1" applyFill="1" applyBorder="1"/>
    <xf numFmtId="164" fontId="2" fillId="0" borderId="1" xfId="1" applyFont="1" applyFill="1" applyBorder="1"/>
    <xf numFmtId="0" fontId="12" fillId="0" borderId="0" xfId="0" applyFont="1" applyAlignment="1">
      <alignment horizontal="left"/>
    </xf>
    <xf numFmtId="0" fontId="12" fillId="0" borderId="0" xfId="0" applyFont="1" applyAlignment="1">
      <alignment horizontal="left" indent="4"/>
    </xf>
    <xf numFmtId="164" fontId="12" fillId="0" borderId="0" xfId="0" applyNumberFormat="1" applyFont="1" applyAlignment="1">
      <alignment horizontal="left"/>
    </xf>
    <xf numFmtId="0" fontId="12" fillId="0" borderId="0" xfId="0" applyFont="1" applyAlignment="1">
      <alignment horizontal="right"/>
    </xf>
    <xf numFmtId="164" fontId="2" fillId="0" borderId="0" xfId="0" applyNumberFormat="1" applyFont="1"/>
    <xf numFmtId="8" fontId="2" fillId="0" borderId="0" xfId="0" applyNumberFormat="1" applyFont="1" applyAlignment="1">
      <alignment horizontal="right"/>
    </xf>
    <xf numFmtId="164" fontId="2" fillId="0" borderId="0" xfId="0" applyNumberFormat="1" applyFont="1" applyAlignment="1">
      <alignment horizontal="right"/>
    </xf>
    <xf numFmtId="164" fontId="2" fillId="0" borderId="0" xfId="0" applyNumberFormat="1" applyFont="1" applyAlignment="1">
      <alignment horizontal="center"/>
    </xf>
    <xf numFmtId="0" fontId="9" fillId="0" borderId="0" xfId="0" applyFont="1" applyAlignment="1">
      <alignment horizontal="left" indent="2"/>
    </xf>
    <xf numFmtId="164" fontId="0" fillId="0" borderId="0" xfId="0" applyNumberFormat="1"/>
    <xf numFmtId="0" fontId="22" fillId="0" borderId="0" xfId="0" applyFont="1"/>
    <xf numFmtId="0" fontId="24" fillId="0" borderId="0" xfId="0" applyFont="1"/>
    <xf numFmtId="0" fontId="7" fillId="0" borderId="0" xfId="0" applyFont="1" applyAlignment="1">
      <alignment horizontal="left" indent="1"/>
    </xf>
    <xf numFmtId="0" fontId="26" fillId="0" borderId="0" xfId="2" applyNumberFormat="1" applyFont="1" applyBorder="1"/>
    <xf numFmtId="0" fontId="26" fillId="0" borderId="0" xfId="0" applyFont="1" applyAlignment="1">
      <alignment horizontal="right"/>
    </xf>
    <xf numFmtId="164" fontId="2" fillId="0" borderId="0" xfId="1" applyFont="1" applyFill="1" applyBorder="1"/>
    <xf numFmtId="164" fontId="7" fillId="0" borderId="0" xfId="1" applyFont="1" applyFill="1" applyBorder="1"/>
    <xf numFmtId="0" fontId="2" fillId="0" borderId="0" xfId="0" applyFont="1" applyAlignment="1">
      <alignment horizontal="left" indent="1"/>
    </xf>
    <xf numFmtId="0" fontId="0" fillId="0" borderId="0" xfId="0" applyAlignment="1">
      <alignment horizontal="left" indent="3"/>
    </xf>
    <xf numFmtId="0" fontId="0" fillId="0" borderId="25" xfId="0" applyBorder="1"/>
    <xf numFmtId="0" fontId="2" fillId="0" borderId="22" xfId="0" applyFont="1" applyBorder="1" applyAlignment="1">
      <alignment horizontal="left" indent="1"/>
    </xf>
    <xf numFmtId="0" fontId="0" fillId="0" borderId="37" xfId="0" applyBorder="1"/>
    <xf numFmtId="0" fontId="2" fillId="0" borderId="33" xfId="0" applyFont="1" applyBorder="1" applyAlignment="1">
      <alignment horizontal="left" indent="1"/>
    </xf>
    <xf numFmtId="0" fontId="0" fillId="0" borderId="0" xfId="0" applyAlignment="1">
      <alignment horizontal="center"/>
    </xf>
    <xf numFmtId="164" fontId="12" fillId="0" borderId="33" xfId="0" applyNumberFormat="1" applyFont="1" applyBorder="1" applyAlignment="1">
      <alignment horizontal="left"/>
    </xf>
    <xf numFmtId="0" fontId="12" fillId="0" borderId="37" xfId="0" applyFont="1" applyBorder="1" applyAlignment="1">
      <alignment horizontal="left"/>
    </xf>
    <xf numFmtId="0" fontId="12" fillId="0" borderId="38" xfId="0" applyFont="1" applyBorder="1" applyAlignment="1">
      <alignment horizontal="left"/>
    </xf>
    <xf numFmtId="164" fontId="1" fillId="0" borderId="29" xfId="1" applyFont="1" applyFill="1" applyBorder="1"/>
    <xf numFmtId="0" fontId="0" fillId="0" borderId="28" xfId="0" applyBorder="1" applyAlignment="1">
      <alignment horizontal="left" vertical="center" indent="1"/>
    </xf>
    <xf numFmtId="164" fontId="1" fillId="0" borderId="0" xfId="1" applyFont="1" applyFill="1" applyBorder="1"/>
    <xf numFmtId="164" fontId="2" fillId="0" borderId="26" xfId="1" applyFont="1" applyFill="1" applyBorder="1"/>
    <xf numFmtId="164" fontId="2" fillId="0" borderId="45" xfId="1" applyFont="1" applyFill="1" applyBorder="1"/>
    <xf numFmtId="164" fontId="1" fillId="0" borderId="1" xfId="1" applyFont="1" applyFill="1" applyBorder="1"/>
    <xf numFmtId="164" fontId="2" fillId="0" borderId="47" xfId="1" applyFont="1" applyFill="1" applyBorder="1"/>
    <xf numFmtId="13" fontId="0" fillId="0" borderId="0" xfId="0" applyNumberFormat="1"/>
    <xf numFmtId="8" fontId="2" fillId="0" borderId="0" xfId="0" applyNumberFormat="1" applyFont="1"/>
    <xf numFmtId="0" fontId="0" fillId="0" borderId="25" xfId="0" applyBorder="1" applyAlignment="1">
      <alignment horizontal="left" vertical="center" indent="1"/>
    </xf>
    <xf numFmtId="0" fontId="27" fillId="0" borderId="0" xfId="0" applyFont="1"/>
    <xf numFmtId="0" fontId="28" fillId="0" borderId="0" xfId="0" applyFont="1"/>
    <xf numFmtId="0" fontId="0" fillId="0" borderId="33" xfId="0" applyBorder="1" applyAlignment="1">
      <alignment horizontal="left" vertical="center" indent="1"/>
    </xf>
    <xf numFmtId="0" fontId="0" fillId="0" borderId="0" xfId="0" applyAlignment="1">
      <alignment horizontal="right"/>
    </xf>
    <xf numFmtId="0" fontId="7" fillId="0" borderId="0" xfId="0" applyFont="1" applyAlignment="1">
      <alignment horizontal="center"/>
    </xf>
    <xf numFmtId="0" fontId="0" fillId="3" borderId="0" xfId="0" applyFill="1"/>
    <xf numFmtId="0" fontId="27" fillId="0" borderId="0" xfId="0" applyFont="1" applyAlignment="1">
      <alignment horizontal="center"/>
    </xf>
    <xf numFmtId="0" fontId="16" fillId="0" borderId="0" xfId="0" applyFont="1" applyAlignment="1">
      <alignment vertical="center"/>
    </xf>
    <xf numFmtId="0" fontId="0" fillId="0" borderId="0" xfId="0" applyAlignment="1">
      <alignment horizontal="left" vertical="center" indent="1"/>
    </xf>
    <xf numFmtId="164" fontId="1" fillId="0" borderId="0" xfId="1" applyFont="1" applyFill="1" applyBorder="1" applyAlignment="1">
      <alignment horizontal="right" vertical="center"/>
    </xf>
    <xf numFmtId="0" fontId="2" fillId="0" borderId="0" xfId="0" applyFont="1" applyAlignment="1">
      <alignment horizontal="center" vertical="center"/>
    </xf>
    <xf numFmtId="0" fontId="12" fillId="0" borderId="0" xfId="0" applyFont="1" applyAlignment="1">
      <alignment vertical="center"/>
    </xf>
    <xf numFmtId="0" fontId="29" fillId="0" borderId="0" xfId="0" applyFont="1" applyAlignment="1">
      <alignment vertical="center"/>
    </xf>
    <xf numFmtId="164" fontId="12" fillId="0" borderId="0" xfId="1" applyFont="1" applyFill="1" applyBorder="1" applyAlignment="1">
      <alignment horizontal="center" vertical="center"/>
    </xf>
    <xf numFmtId="0" fontId="0" fillId="0" borderId="22" xfId="0" applyBorder="1" applyAlignment="1">
      <alignment horizontal="left"/>
    </xf>
    <xf numFmtId="164" fontId="2" fillId="0" borderId="0" xfId="0" applyNumberFormat="1" applyFont="1" applyAlignment="1">
      <alignment vertical="center"/>
    </xf>
    <xf numFmtId="0" fontId="0" fillId="0" borderId="22" xfId="0" applyBorder="1" applyAlignment="1">
      <alignment horizontal="left" vertical="center" indent="1"/>
    </xf>
    <xf numFmtId="0" fontId="22" fillId="0" borderId="0" xfId="0" applyFont="1" applyAlignment="1">
      <alignment horizontal="right"/>
    </xf>
    <xf numFmtId="164" fontId="2" fillId="0" borderId="51" xfId="1" applyFont="1" applyFill="1" applyBorder="1"/>
    <xf numFmtId="164" fontId="2" fillId="0" borderId="58" xfId="1" applyFont="1" applyFill="1" applyBorder="1"/>
    <xf numFmtId="0" fontId="4" fillId="0" borderId="16" xfId="0" applyFont="1" applyBorder="1" applyAlignment="1">
      <alignment horizontal="center" vertical="center"/>
    </xf>
    <xf numFmtId="0" fontId="2" fillId="0" borderId="16" xfId="0" applyFont="1" applyBorder="1" applyAlignment="1">
      <alignment horizontal="left" indent="25"/>
    </xf>
    <xf numFmtId="0" fontId="3" fillId="0" borderId="16" xfId="0" applyFont="1" applyBorder="1" applyAlignment="1">
      <alignment horizontal="left" indent="1"/>
    </xf>
    <xf numFmtId="0" fontId="26" fillId="0" borderId="0" xfId="0" applyFont="1"/>
    <xf numFmtId="0" fontId="7" fillId="0" borderId="25" xfId="0" applyFont="1" applyBorder="1" applyAlignment="1">
      <alignment horizontal="left" vertical="center" indent="1"/>
    </xf>
    <xf numFmtId="0" fontId="33" fillId="0" borderId="0" xfId="0" applyFont="1"/>
    <xf numFmtId="164" fontId="31" fillId="0" borderId="2" xfId="1" applyFont="1" applyFill="1" applyBorder="1"/>
    <xf numFmtId="164" fontId="31" fillId="0" borderId="39" xfId="1" applyFont="1" applyFill="1" applyBorder="1"/>
    <xf numFmtId="0" fontId="31" fillId="0" borderId="0" xfId="0" applyFont="1"/>
    <xf numFmtId="0" fontId="0" fillId="0" borderId="0" xfId="0" applyAlignment="1">
      <alignment horizontal="left" indent="1"/>
    </xf>
    <xf numFmtId="0" fontId="22" fillId="0" borderId="0" xfId="0" applyFont="1" applyAlignment="1">
      <alignment horizontal="center"/>
    </xf>
    <xf numFmtId="0" fontId="22" fillId="0" borderId="0" xfId="0" applyFont="1" applyAlignment="1">
      <alignment horizontal="right" indent="1"/>
    </xf>
    <xf numFmtId="0" fontId="35" fillId="0" borderId="0" xfId="0" applyFont="1" applyAlignment="1">
      <alignment horizontal="left" indent="4"/>
    </xf>
    <xf numFmtId="0" fontId="35" fillId="0" borderId="0" xfId="0" applyFont="1" applyAlignment="1">
      <alignment horizontal="left"/>
    </xf>
    <xf numFmtId="0" fontId="8" fillId="3" borderId="0" xfId="0" applyFont="1" applyFill="1"/>
    <xf numFmtId="2" fontId="30" fillId="0" borderId="0" xfId="0" applyNumberFormat="1" applyFont="1"/>
    <xf numFmtId="10" fontId="26" fillId="0" borderId="0" xfId="0" applyNumberFormat="1" applyFont="1"/>
    <xf numFmtId="0" fontId="36" fillId="0" borderId="0" xfId="3" applyFont="1" applyFill="1" applyBorder="1" applyAlignment="1">
      <alignment vertical="center" wrapText="1"/>
    </xf>
    <xf numFmtId="0" fontId="37" fillId="0" borderId="0" xfId="3" applyFont="1" applyFill="1" applyBorder="1" applyAlignment="1">
      <alignment vertical="center" wrapText="1"/>
    </xf>
    <xf numFmtId="0" fontId="38" fillId="0" borderId="0" xfId="0" applyFont="1" applyAlignment="1">
      <alignment horizontal="left" indent="2"/>
    </xf>
    <xf numFmtId="0" fontId="39" fillId="0" borderId="0" xfId="0" applyFont="1"/>
    <xf numFmtId="0" fontId="40" fillId="0" borderId="0" xfId="0" applyFont="1"/>
    <xf numFmtId="164" fontId="39" fillId="0" borderId="1" xfId="1" applyFont="1" applyFill="1" applyBorder="1"/>
    <xf numFmtId="0" fontId="41" fillId="0" borderId="0" xfId="3" applyFont="1" applyFill="1" applyBorder="1" applyAlignment="1">
      <alignment vertical="center" wrapText="1"/>
    </xf>
    <xf numFmtId="0" fontId="42" fillId="0" borderId="0" xfId="0" applyFont="1"/>
    <xf numFmtId="17" fontId="0" fillId="0" borderId="16" xfId="0" applyNumberFormat="1" applyBorder="1" applyAlignment="1">
      <alignment horizontal="center"/>
    </xf>
    <xf numFmtId="4" fontId="47" fillId="0" borderId="35" xfId="0" applyNumberFormat="1" applyFont="1" applyBorder="1"/>
    <xf numFmtId="4" fontId="47" fillId="0" borderId="23" xfId="1" applyNumberFormat="1" applyFont="1" applyBorder="1"/>
    <xf numFmtId="0" fontId="48" fillId="0" borderId="2" xfId="0" applyFont="1" applyBorder="1"/>
    <xf numFmtId="0" fontId="48" fillId="0" borderId="3" xfId="0" applyFont="1" applyBorder="1"/>
    <xf numFmtId="4" fontId="49" fillId="0" borderId="2" xfId="0" applyNumberFormat="1" applyFont="1" applyBorder="1"/>
    <xf numFmtId="4" fontId="49" fillId="0" borderId="3" xfId="1" applyNumberFormat="1" applyFont="1" applyBorder="1"/>
    <xf numFmtId="4" fontId="47" fillId="0" borderId="43" xfId="1" applyNumberFormat="1" applyFont="1" applyBorder="1"/>
    <xf numFmtId="0" fontId="48" fillId="0" borderId="36" xfId="0" applyFont="1" applyBorder="1"/>
    <xf numFmtId="0" fontId="48" fillId="0" borderId="45" xfId="0" applyFont="1" applyBorder="1"/>
    <xf numFmtId="4" fontId="47" fillId="0" borderId="34" xfId="0" applyNumberFormat="1" applyFont="1" applyBorder="1"/>
    <xf numFmtId="4" fontId="47" fillId="0" borderId="44" xfId="0" applyNumberFormat="1" applyFont="1" applyBorder="1"/>
    <xf numFmtId="164" fontId="47" fillId="0" borderId="35" xfId="0" applyNumberFormat="1" applyFont="1" applyBorder="1" applyAlignment="1">
      <alignment vertical="center"/>
    </xf>
    <xf numFmtId="164" fontId="47" fillId="0" borderId="23" xfId="0" applyNumberFormat="1" applyFont="1" applyBorder="1" applyAlignment="1">
      <alignment vertical="center" wrapText="1"/>
    </xf>
    <xf numFmtId="164" fontId="47" fillId="0" borderId="35" xfId="0" applyNumberFormat="1" applyFont="1" applyBorder="1" applyAlignment="1">
      <alignment vertical="center" wrapText="1"/>
    </xf>
    <xf numFmtId="164" fontId="47" fillId="0" borderId="24" xfId="0" applyNumberFormat="1" applyFont="1" applyBorder="1" applyAlignment="1">
      <alignment vertical="center" wrapText="1"/>
    </xf>
    <xf numFmtId="164" fontId="49" fillId="0" borderId="2" xfId="1" applyFont="1" applyFill="1" applyBorder="1"/>
    <xf numFmtId="9" fontId="49" fillId="0" borderId="2" xfId="2" applyFont="1" applyFill="1" applyBorder="1" applyAlignment="1">
      <alignment horizontal="center"/>
    </xf>
    <xf numFmtId="9" fontId="49" fillId="0" borderId="0" xfId="1" applyNumberFormat="1" applyFont="1" applyFill="1" applyBorder="1" applyAlignment="1">
      <alignment horizontal="center"/>
    </xf>
    <xf numFmtId="164" fontId="47" fillId="0" borderId="2" xfId="1" applyFont="1" applyFill="1" applyBorder="1"/>
    <xf numFmtId="164" fontId="47" fillId="0" borderId="0" xfId="1" applyFont="1" applyFill="1" applyBorder="1"/>
    <xf numFmtId="164" fontId="47" fillId="0" borderId="29" xfId="1" applyFont="1" applyFill="1" applyBorder="1"/>
    <xf numFmtId="164" fontId="47" fillId="0" borderId="36" xfId="1" applyFont="1" applyFill="1" applyBorder="1"/>
    <xf numFmtId="164" fontId="47" fillId="0" borderId="39" xfId="1" applyFont="1" applyFill="1" applyBorder="1"/>
    <xf numFmtId="164" fontId="48" fillId="0" borderId="35" xfId="1" applyFont="1" applyFill="1" applyBorder="1"/>
    <xf numFmtId="164" fontId="48" fillId="0" borderId="2" xfId="1" applyFont="1" applyFill="1" applyBorder="1"/>
    <xf numFmtId="164" fontId="48" fillId="0" borderId="3" xfId="1" applyFont="1" applyFill="1" applyBorder="1"/>
    <xf numFmtId="164" fontId="48" fillId="0" borderId="0" xfId="1" applyFont="1" applyFill="1" applyBorder="1"/>
    <xf numFmtId="164" fontId="49" fillId="0" borderId="36" xfId="1" applyFont="1" applyFill="1" applyBorder="1"/>
    <xf numFmtId="164" fontId="47" fillId="0" borderId="23" xfId="0" applyNumberFormat="1" applyFont="1" applyBorder="1" applyAlignment="1">
      <alignment vertical="center"/>
    </xf>
    <xf numFmtId="164" fontId="49" fillId="0" borderId="26" xfId="1" applyFont="1" applyFill="1" applyBorder="1"/>
    <xf numFmtId="164" fontId="47" fillId="0" borderId="24" xfId="0" applyNumberFormat="1" applyFont="1" applyBorder="1" applyAlignment="1">
      <alignment vertical="center"/>
    </xf>
    <xf numFmtId="164" fontId="48" fillId="0" borderId="29" xfId="1" applyFont="1" applyFill="1" applyBorder="1"/>
    <xf numFmtId="164" fontId="49" fillId="0" borderId="27" xfId="1" applyFont="1" applyFill="1" applyBorder="1"/>
    <xf numFmtId="164" fontId="48" fillId="0" borderId="50" xfId="1" applyFont="1" applyBorder="1" applyAlignment="1">
      <alignment horizontal="right" vertical="center"/>
    </xf>
    <xf numFmtId="164" fontId="48" fillId="0" borderId="35" xfId="1" applyFont="1" applyBorder="1" applyAlignment="1">
      <alignment horizontal="right" vertical="center"/>
    </xf>
    <xf numFmtId="164" fontId="48" fillId="0" borderId="23" xfId="1" applyFont="1" applyBorder="1" applyAlignment="1">
      <alignment horizontal="right" vertical="center"/>
    </xf>
    <xf numFmtId="164" fontId="48" fillId="0" borderId="24" xfId="1" applyFont="1" applyBorder="1" applyAlignment="1">
      <alignment horizontal="right" vertical="center"/>
    </xf>
    <xf numFmtId="0" fontId="49" fillId="0" borderId="0" xfId="0" applyFont="1" applyAlignment="1">
      <alignment horizontal="center"/>
    </xf>
    <xf numFmtId="0" fontId="49" fillId="0" borderId="37" xfId="0" applyFont="1" applyBorder="1" applyAlignment="1">
      <alignment horizontal="center"/>
    </xf>
    <xf numFmtId="164" fontId="48" fillId="0" borderId="35" xfId="0" applyNumberFormat="1" applyFont="1" applyBorder="1" applyAlignment="1">
      <alignment vertical="center"/>
    </xf>
    <xf numFmtId="164" fontId="48" fillId="0" borderId="24" xfId="0" applyNumberFormat="1" applyFont="1" applyBorder="1" applyAlignment="1">
      <alignment vertical="center" wrapText="1"/>
    </xf>
    <xf numFmtId="164" fontId="48" fillId="0" borderId="24" xfId="1" applyFont="1" applyFill="1" applyBorder="1"/>
    <xf numFmtId="164" fontId="48" fillId="0" borderId="39" xfId="1" applyFont="1" applyFill="1" applyBorder="1"/>
    <xf numFmtId="164" fontId="47" fillId="0" borderId="3" xfId="1" applyFont="1" applyFill="1" applyBorder="1"/>
    <xf numFmtId="164" fontId="47" fillId="0" borderId="32" xfId="1" applyFont="1" applyBorder="1"/>
    <xf numFmtId="164" fontId="49" fillId="0" borderId="32" xfId="1" applyFont="1" applyBorder="1"/>
    <xf numFmtId="0" fontId="48" fillId="0" borderId="31" xfId="0" applyFont="1" applyBorder="1"/>
    <xf numFmtId="164" fontId="49" fillId="0" borderId="29" xfId="1" applyFont="1" applyFill="1" applyBorder="1"/>
    <xf numFmtId="9" fontId="52" fillId="0" borderId="35" xfId="1" applyNumberFormat="1" applyFont="1" applyFill="1" applyBorder="1"/>
    <xf numFmtId="9" fontId="52" fillId="0" borderId="2" xfId="1" applyNumberFormat="1" applyFont="1" applyFill="1" applyBorder="1"/>
    <xf numFmtId="9" fontId="52" fillId="0" borderId="2" xfId="2" applyFont="1" applyFill="1" applyBorder="1"/>
    <xf numFmtId="9" fontId="52" fillId="0" borderId="36" xfId="2" applyFont="1" applyFill="1" applyBorder="1"/>
    <xf numFmtId="9" fontId="52" fillId="0" borderId="23" xfId="1" applyNumberFormat="1" applyFont="1" applyFill="1" applyBorder="1"/>
    <xf numFmtId="9" fontId="52" fillId="0" borderId="0" xfId="1" applyNumberFormat="1" applyFont="1" applyFill="1" applyBorder="1"/>
    <xf numFmtId="9" fontId="52" fillId="0" borderId="0" xfId="2" applyFont="1" applyFill="1" applyBorder="1"/>
    <xf numFmtId="9" fontId="52" fillId="0" borderId="26" xfId="2" applyFont="1" applyFill="1" applyBorder="1"/>
    <xf numFmtId="9" fontId="52" fillId="0" borderId="44" xfId="2" applyFont="1" applyFill="1" applyBorder="1"/>
    <xf numFmtId="9" fontId="52" fillId="0" borderId="24" xfId="1" applyNumberFormat="1" applyFont="1" applyFill="1" applyBorder="1"/>
    <xf numFmtId="9" fontId="52" fillId="0" borderId="29" xfId="1" applyNumberFormat="1" applyFont="1" applyFill="1" applyBorder="1"/>
    <xf numFmtId="9" fontId="52" fillId="0" borderId="29" xfId="2" applyFont="1" applyFill="1" applyBorder="1"/>
    <xf numFmtId="9" fontId="52" fillId="0" borderId="41" xfId="2" applyFont="1" applyFill="1" applyBorder="1"/>
    <xf numFmtId="164" fontId="44" fillId="0" borderId="3" xfId="1" applyFont="1" applyFill="1" applyBorder="1"/>
    <xf numFmtId="164" fontId="51" fillId="0" borderId="45" xfId="1" applyFont="1" applyFill="1" applyBorder="1"/>
    <xf numFmtId="164" fontId="44" fillId="0" borderId="0" xfId="1" applyFont="1" applyFill="1" applyBorder="1"/>
    <xf numFmtId="164" fontId="51" fillId="0" borderId="26" xfId="1" applyFont="1" applyFill="1" applyBorder="1"/>
    <xf numFmtId="0" fontId="47" fillId="0" borderId="22" xfId="0" applyFont="1" applyBorder="1" applyAlignment="1">
      <alignment horizontal="left" indent="1"/>
    </xf>
    <xf numFmtId="0" fontId="47" fillId="0" borderId="28" xfId="0" applyFont="1" applyBorder="1" applyAlignment="1">
      <alignment horizontal="left" indent="1"/>
    </xf>
    <xf numFmtId="0" fontId="47" fillId="0" borderId="28" xfId="0" applyFont="1" applyBorder="1" applyAlignment="1">
      <alignment horizontal="left" vertical="center" indent="1"/>
    </xf>
    <xf numFmtId="0" fontId="47" fillId="2" borderId="33" xfId="0" applyFont="1" applyFill="1" applyBorder="1"/>
    <xf numFmtId="0" fontId="47" fillId="0" borderId="25" xfId="0" applyFont="1" applyBorder="1" applyAlignment="1">
      <alignment horizontal="left" indent="1"/>
    </xf>
    <xf numFmtId="0" fontId="48" fillId="0" borderId="28" xfId="0" applyFont="1" applyBorder="1" applyAlignment="1">
      <alignment horizontal="left" indent="1"/>
    </xf>
    <xf numFmtId="0" fontId="48" fillId="0" borderId="28" xfId="0" applyFont="1" applyBorder="1" applyAlignment="1">
      <alignment horizontal="left" vertical="center" indent="1"/>
    </xf>
    <xf numFmtId="0" fontId="12" fillId="0" borderId="0" xfId="0" applyFont="1" applyAlignment="1">
      <alignment horizontal="right" indent="1"/>
    </xf>
    <xf numFmtId="164" fontId="49" fillId="0" borderId="0" xfId="1" applyFont="1" applyFill="1" applyBorder="1"/>
    <xf numFmtId="164" fontId="49" fillId="0" borderId="3" xfId="1" applyFont="1" applyFill="1" applyBorder="1"/>
    <xf numFmtId="0" fontId="45" fillId="0" borderId="0" xfId="0" applyFont="1" applyAlignment="1">
      <alignment horizontal="left" vertical="center"/>
    </xf>
    <xf numFmtId="164" fontId="54" fillId="0" borderId="1" xfId="1" applyFont="1" applyFill="1" applyBorder="1"/>
    <xf numFmtId="164" fontId="12" fillId="0" borderId="1" xfId="1" applyFont="1" applyFill="1" applyBorder="1"/>
    <xf numFmtId="164" fontId="46" fillId="0" borderId="1" xfId="1" applyFont="1" applyFill="1" applyBorder="1"/>
    <xf numFmtId="164" fontId="46" fillId="0" borderId="2" xfId="1" applyFont="1" applyFill="1" applyBorder="1"/>
    <xf numFmtId="0" fontId="55" fillId="0" borderId="0" xfId="0" applyFont="1" applyAlignment="1">
      <alignment horizontal="right"/>
    </xf>
    <xf numFmtId="2" fontId="55" fillId="0" borderId="0" xfId="0" applyNumberFormat="1" applyFont="1"/>
    <xf numFmtId="2" fontId="56" fillId="0" borderId="0" xfId="0" applyNumberFormat="1" applyFont="1"/>
    <xf numFmtId="0" fontId="7" fillId="0" borderId="0" xfId="0" applyFont="1" applyAlignment="1">
      <alignment horizontal="right"/>
    </xf>
    <xf numFmtId="2" fontId="7" fillId="0" borderId="0" xfId="0" applyNumberFormat="1" applyFont="1"/>
    <xf numFmtId="0" fontId="7" fillId="0" borderId="0" xfId="0" applyFont="1" applyAlignment="1">
      <alignment horizontal="center" vertical="center"/>
    </xf>
    <xf numFmtId="2" fontId="7"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left"/>
    </xf>
    <xf numFmtId="164" fontId="2" fillId="0" borderId="0" xfId="0" applyNumberFormat="1" applyFont="1" applyAlignment="1">
      <alignment horizontal="center" vertical="center"/>
    </xf>
    <xf numFmtId="0" fontId="52" fillId="0" borderId="0" xfId="0" applyFont="1"/>
    <xf numFmtId="0" fontId="52" fillId="0" borderId="0" xfId="0" applyFont="1" applyAlignment="1">
      <alignment horizontal="left"/>
    </xf>
    <xf numFmtId="0" fontId="57" fillId="0" borderId="0" xfId="0" applyFont="1"/>
    <xf numFmtId="0" fontId="14" fillId="0" borderId="0" xfId="0" applyFont="1" applyAlignment="1">
      <alignment horizontal="center"/>
    </xf>
    <xf numFmtId="0" fontId="0" fillId="0" borderId="21" xfId="0" applyBorder="1"/>
    <xf numFmtId="9" fontId="0" fillId="3" borderId="21" xfId="2" applyFont="1" applyFill="1" applyBorder="1" applyAlignment="1" applyProtection="1">
      <alignment horizontal="center"/>
      <protection locked="0"/>
    </xf>
    <xf numFmtId="0" fontId="2" fillId="0" borderId="32" xfId="0" applyFont="1" applyBorder="1"/>
    <xf numFmtId="0" fontId="62" fillId="5" borderId="63" xfId="0" applyFont="1" applyFill="1" applyBorder="1" applyAlignment="1">
      <alignment horizontal="left"/>
    </xf>
    <xf numFmtId="168" fontId="62" fillId="6" borderId="64" xfId="5" applyNumberFormat="1" applyFont="1" applyFill="1" applyBorder="1" applyAlignment="1">
      <alignment horizontal="right"/>
    </xf>
    <xf numFmtId="170" fontId="62" fillId="6" borderId="65" xfId="0" applyNumberFormat="1" applyFont="1" applyFill="1" applyBorder="1" applyAlignment="1">
      <alignment horizontal="right"/>
    </xf>
    <xf numFmtId="0" fontId="62" fillId="5" borderId="66" xfId="0" applyFont="1" applyFill="1" applyBorder="1" applyAlignment="1">
      <alignment horizontal="left"/>
    </xf>
    <xf numFmtId="0" fontId="62" fillId="5" borderId="67" xfId="0" applyFont="1" applyFill="1" applyBorder="1" applyAlignment="1">
      <alignment horizontal="right"/>
    </xf>
    <xf numFmtId="172" fontId="62" fillId="6" borderId="65" xfId="0" applyNumberFormat="1" applyFont="1" applyFill="1" applyBorder="1" applyAlignment="1">
      <alignment horizontal="right"/>
    </xf>
    <xf numFmtId="0" fontId="64" fillId="0" borderId="0" xfId="0" applyFont="1"/>
    <xf numFmtId="1" fontId="31" fillId="0" borderId="0" xfId="2" applyNumberFormat="1" applyFont="1" applyFill="1" applyAlignment="1" applyProtection="1">
      <alignment horizontal="center"/>
      <protection locked="0"/>
    </xf>
    <xf numFmtId="164" fontId="2" fillId="8" borderId="21" xfId="1" applyFont="1" applyFill="1" applyBorder="1"/>
    <xf numFmtId="0" fontId="2" fillId="8" borderId="22" xfId="0" applyFont="1" applyFill="1" applyBorder="1" applyAlignment="1">
      <alignment horizontal="center" vertical="center"/>
    </xf>
    <xf numFmtId="0" fontId="2" fillId="8" borderId="35" xfId="0" applyFont="1" applyFill="1" applyBorder="1" applyAlignment="1">
      <alignment horizontal="center" vertical="center"/>
    </xf>
    <xf numFmtId="0" fontId="2" fillId="8" borderId="23" xfId="0" applyFont="1" applyFill="1" applyBorder="1" applyAlignment="1">
      <alignment horizontal="center" vertical="center"/>
    </xf>
    <xf numFmtId="0" fontId="2" fillId="8" borderId="24" xfId="0" applyFont="1" applyFill="1" applyBorder="1" applyAlignment="1">
      <alignment horizontal="center" vertical="center"/>
    </xf>
    <xf numFmtId="0" fontId="2" fillId="8" borderId="25" xfId="0" applyFont="1" applyFill="1" applyBorder="1" applyAlignment="1">
      <alignment horizontal="center" vertical="center"/>
    </xf>
    <xf numFmtId="0" fontId="2" fillId="8" borderId="36" xfId="0" applyFont="1" applyFill="1" applyBorder="1" applyAlignment="1">
      <alignment horizontal="center" vertical="center"/>
    </xf>
    <xf numFmtId="0" fontId="2" fillId="8" borderId="26" xfId="0" applyFont="1" applyFill="1" applyBorder="1" applyAlignment="1">
      <alignment horizontal="center" vertical="center"/>
    </xf>
    <xf numFmtId="0" fontId="0" fillId="8" borderId="37" xfId="0" applyFill="1" applyBorder="1"/>
    <xf numFmtId="164" fontId="2" fillId="8" borderId="34" xfId="1" applyFont="1" applyFill="1" applyBorder="1"/>
    <xf numFmtId="164" fontId="2" fillId="8" borderId="37" xfId="1" applyFont="1" applyFill="1" applyBorder="1"/>
    <xf numFmtId="164" fontId="2" fillId="8" borderId="38" xfId="1" applyFont="1" applyFill="1" applyBorder="1"/>
    <xf numFmtId="0" fontId="2" fillId="8" borderId="33" xfId="0" applyFont="1" applyFill="1" applyBorder="1"/>
    <xf numFmtId="9" fontId="53" fillId="8" borderId="34" xfId="2" applyFont="1" applyFill="1" applyBorder="1"/>
    <xf numFmtId="9" fontId="53" fillId="8" borderId="37" xfId="2" applyFont="1" applyFill="1" applyBorder="1"/>
    <xf numFmtId="9" fontId="53" fillId="8" borderId="38" xfId="2" applyFont="1" applyFill="1" applyBorder="1"/>
    <xf numFmtId="9" fontId="47" fillId="8" borderId="34" xfId="2" applyFont="1" applyFill="1" applyBorder="1" applyAlignment="1">
      <alignment horizontal="center"/>
    </xf>
    <xf numFmtId="9" fontId="47" fillId="8" borderId="37" xfId="2" applyFont="1" applyFill="1" applyBorder="1" applyAlignment="1">
      <alignment horizontal="center"/>
    </xf>
    <xf numFmtId="9" fontId="47" fillId="8" borderId="38" xfId="2" applyFont="1" applyFill="1" applyBorder="1" applyAlignment="1">
      <alignment horizontal="center"/>
    </xf>
    <xf numFmtId="164" fontId="47" fillId="8" borderId="34" xfId="1" applyFont="1" applyFill="1" applyBorder="1"/>
    <xf numFmtId="164" fontId="47" fillId="8" borderId="37" xfId="1" applyFont="1" applyFill="1" applyBorder="1"/>
    <xf numFmtId="164" fontId="47" fillId="8" borderId="38" xfId="1" applyFont="1" applyFill="1" applyBorder="1"/>
    <xf numFmtId="0" fontId="48" fillId="8" borderId="37" xfId="0" applyFont="1" applyFill="1" applyBorder="1"/>
    <xf numFmtId="0" fontId="47" fillId="8" borderId="49" xfId="0" applyFont="1" applyFill="1" applyBorder="1" applyAlignment="1">
      <alignment horizontal="center" vertical="center"/>
    </xf>
    <xf numFmtId="0" fontId="47" fillId="8" borderId="34" xfId="0" applyFont="1" applyFill="1" applyBorder="1" applyAlignment="1">
      <alignment horizontal="center" vertical="center"/>
    </xf>
    <xf numFmtId="0" fontId="47" fillId="8" borderId="37" xfId="0" applyFont="1" applyFill="1" applyBorder="1" applyAlignment="1">
      <alignment horizontal="center" vertical="center"/>
    </xf>
    <xf numFmtId="0" fontId="47" fillId="8" borderId="38" xfId="0" applyFont="1" applyFill="1" applyBorder="1" applyAlignment="1">
      <alignment horizontal="center" vertical="center"/>
    </xf>
    <xf numFmtId="0" fontId="12" fillId="8" borderId="21" xfId="0" applyFont="1" applyFill="1" applyBorder="1" applyAlignment="1">
      <alignment vertical="center"/>
    </xf>
    <xf numFmtId="0" fontId="29" fillId="8" borderId="33" xfId="0" applyFont="1" applyFill="1" applyBorder="1" applyAlignment="1">
      <alignment vertical="center"/>
    </xf>
    <xf numFmtId="0" fontId="47" fillId="8" borderId="37" xfId="0" applyFont="1" applyFill="1" applyBorder="1" applyAlignment="1">
      <alignment vertical="center"/>
    </xf>
    <xf numFmtId="164" fontId="47" fillId="8" borderId="49" xfId="1" applyFont="1" applyFill="1" applyBorder="1" applyAlignment="1">
      <alignment horizontal="center" vertical="center"/>
    </xf>
    <xf numFmtId="164" fontId="47" fillId="8" borderId="34" xfId="1" applyFont="1" applyFill="1" applyBorder="1" applyAlignment="1">
      <alignment horizontal="center" vertical="center"/>
    </xf>
    <xf numFmtId="164" fontId="47" fillId="8" borderId="37" xfId="1" applyFont="1" applyFill="1" applyBorder="1" applyAlignment="1">
      <alignment horizontal="center" vertical="center"/>
    </xf>
    <xf numFmtId="164" fontId="47" fillId="8" borderId="38" xfId="1" applyFont="1" applyFill="1" applyBorder="1" applyAlignment="1">
      <alignment horizontal="center" vertical="center"/>
    </xf>
    <xf numFmtId="164" fontId="47" fillId="8" borderId="34" xfId="2" applyNumberFormat="1" applyFont="1" applyFill="1" applyBorder="1" applyAlignment="1">
      <alignment horizontal="center"/>
    </xf>
    <xf numFmtId="164" fontId="47" fillId="8" borderId="34" xfId="1" applyFont="1" applyFill="1" applyBorder="1" applyAlignment="1">
      <alignment horizontal="center"/>
    </xf>
    <xf numFmtId="164" fontId="47" fillId="8" borderId="37" xfId="1" applyFont="1" applyFill="1" applyBorder="1" applyAlignment="1">
      <alignment horizontal="center"/>
    </xf>
    <xf numFmtId="164" fontId="47" fillId="8" borderId="38" xfId="1" applyFont="1" applyFill="1" applyBorder="1" applyAlignment="1">
      <alignment horizontal="center"/>
    </xf>
    <xf numFmtId="0" fontId="0" fillId="7" borderId="0" xfId="0" applyFill="1"/>
    <xf numFmtId="0" fontId="0" fillId="7" borderId="13" xfId="0" applyFill="1" applyBorder="1"/>
    <xf numFmtId="0" fontId="0" fillId="7" borderId="14" xfId="0" applyFill="1" applyBorder="1"/>
    <xf numFmtId="0" fontId="0" fillId="7" borderId="15" xfId="0" applyFill="1" applyBorder="1"/>
    <xf numFmtId="0" fontId="3" fillId="7" borderId="16" xfId="0" applyFont="1" applyFill="1" applyBorder="1"/>
    <xf numFmtId="0" fontId="3" fillId="7" borderId="0" xfId="0" applyFont="1" applyFill="1" applyAlignment="1">
      <alignment horizontal="left" indent="5"/>
    </xf>
    <xf numFmtId="0" fontId="0" fillId="7" borderId="0" xfId="0" applyFill="1" applyAlignment="1">
      <alignment horizontal="left" indent="1"/>
    </xf>
    <xf numFmtId="0" fontId="0" fillId="7" borderId="17" xfId="0" applyFill="1" applyBorder="1"/>
    <xf numFmtId="0" fontId="0" fillId="7" borderId="16" xfId="0" applyFill="1" applyBorder="1"/>
    <xf numFmtId="0" fontId="3" fillId="7" borderId="0" xfId="0" applyFont="1" applyFill="1" applyAlignment="1">
      <alignment horizontal="left" vertical="center" indent="5"/>
    </xf>
    <xf numFmtId="0" fontId="3" fillId="7" borderId="0" xfId="0" applyFont="1" applyFill="1" applyAlignment="1">
      <alignment horizontal="left" vertical="top" indent="5"/>
    </xf>
    <xf numFmtId="0" fontId="0" fillId="7" borderId="18" xfId="0" applyFill="1" applyBorder="1"/>
    <xf numFmtId="0" fontId="0" fillId="7" borderId="19" xfId="0" applyFill="1" applyBorder="1"/>
    <xf numFmtId="0" fontId="25" fillId="7" borderId="19" xfId="0" applyFont="1" applyFill="1" applyBorder="1" applyAlignment="1">
      <alignment vertical="top"/>
    </xf>
    <xf numFmtId="0" fontId="34" fillId="7" borderId="20" xfId="0" applyFont="1" applyFill="1" applyBorder="1" applyAlignment="1">
      <alignment horizontal="right"/>
    </xf>
    <xf numFmtId="0" fontId="2" fillId="8" borderId="46" xfId="0" applyFont="1" applyFill="1" applyBorder="1" applyAlignment="1">
      <alignment horizontal="center" vertical="center"/>
    </xf>
    <xf numFmtId="0" fontId="2" fillId="8" borderId="0" xfId="0" applyFont="1" applyFill="1" applyAlignment="1">
      <alignment horizontal="center" vertical="center"/>
    </xf>
    <xf numFmtId="0" fontId="2" fillId="8" borderId="1" xfId="0" applyFont="1" applyFill="1" applyBorder="1" applyAlignment="1">
      <alignment horizontal="center" vertical="center"/>
    </xf>
    <xf numFmtId="0" fontId="2" fillId="8" borderId="29" xfId="0" applyFont="1" applyFill="1" applyBorder="1" applyAlignment="1">
      <alignment horizontal="center" vertical="center"/>
    </xf>
    <xf numFmtId="0" fontId="47" fillId="8" borderId="33" xfId="0" applyFont="1" applyFill="1" applyBorder="1"/>
    <xf numFmtId="164" fontId="51" fillId="8" borderId="44" xfId="1" applyFont="1" applyFill="1" applyBorder="1"/>
    <xf numFmtId="164" fontId="2" fillId="8" borderId="42" xfId="1" applyFont="1" applyFill="1" applyBorder="1"/>
    <xf numFmtId="164" fontId="51" fillId="8" borderId="37" xfId="1" applyFont="1" applyFill="1" applyBorder="1"/>
    <xf numFmtId="164" fontId="0" fillId="7" borderId="1" xfId="1" applyFont="1" applyFill="1" applyBorder="1" applyProtection="1">
      <protection locked="0"/>
    </xf>
    <xf numFmtId="164" fontId="0" fillId="7" borderId="2" xfId="1" applyFont="1" applyFill="1" applyBorder="1" applyProtection="1">
      <protection locked="0"/>
    </xf>
    <xf numFmtId="164" fontId="0" fillId="7" borderId="1" xfId="1" applyFont="1" applyFill="1" applyBorder="1" applyAlignment="1" applyProtection="1">
      <alignment horizontal="left" indent="1"/>
      <protection locked="0"/>
    </xf>
    <xf numFmtId="164" fontId="0" fillId="7" borderId="3" xfId="1" applyFont="1" applyFill="1" applyBorder="1" applyProtection="1">
      <protection locked="0"/>
    </xf>
    <xf numFmtId="9" fontId="0" fillId="7" borderId="0" xfId="2" applyFont="1" applyFill="1" applyAlignment="1" applyProtection="1">
      <alignment horizontal="center"/>
      <protection locked="0"/>
    </xf>
    <xf numFmtId="10" fontId="0" fillId="7" borderId="0" xfId="2" applyNumberFormat="1" applyFont="1" applyFill="1" applyAlignment="1" applyProtection="1">
      <alignment horizontal="center"/>
      <protection locked="0"/>
    </xf>
    <xf numFmtId="166" fontId="0" fillId="7" borderId="0" xfId="2" applyNumberFormat="1" applyFont="1" applyFill="1" applyAlignment="1" applyProtection="1">
      <alignment horizontal="center"/>
      <protection locked="0"/>
    </xf>
    <xf numFmtId="0" fontId="0" fillId="7" borderId="21" xfId="2" applyNumberFormat="1" applyFont="1" applyFill="1" applyBorder="1" applyAlignment="1" applyProtection="1">
      <alignment horizontal="center"/>
      <protection locked="0"/>
    </xf>
    <xf numFmtId="164" fontId="67" fillId="0" borderId="68" xfId="8" applyFont="1" applyBorder="1" applyAlignment="1">
      <alignment vertical="top"/>
    </xf>
    <xf numFmtId="164" fontId="67" fillId="8" borderId="68" xfId="7" applyNumberFormat="1" applyFont="1" applyFill="1" applyBorder="1" applyAlignment="1">
      <alignment vertical="top"/>
    </xf>
    <xf numFmtId="164" fontId="69" fillId="8" borderId="68" xfId="8" applyFont="1" applyFill="1" applyBorder="1" applyAlignment="1">
      <alignment vertical="top"/>
    </xf>
    <xf numFmtId="0" fontId="74" fillId="0" borderId="0" xfId="0" applyFont="1"/>
    <xf numFmtId="0" fontId="65" fillId="8" borderId="22" xfId="6" applyFont="1" applyFill="1" applyBorder="1"/>
    <xf numFmtId="0" fontId="65" fillId="8" borderId="28" xfId="6" applyFont="1" applyFill="1" applyBorder="1"/>
    <xf numFmtId="0" fontId="67" fillId="8" borderId="72" xfId="7" applyFont="1" applyFill="1" applyBorder="1"/>
    <xf numFmtId="0" fontId="67" fillId="0" borderId="73" xfId="7" applyFont="1" applyBorder="1"/>
    <xf numFmtId="0" fontId="67" fillId="8" borderId="71" xfId="7" applyFont="1" applyFill="1" applyBorder="1"/>
    <xf numFmtId="0" fontId="70" fillId="8" borderId="74" xfId="7" applyFont="1" applyFill="1" applyBorder="1"/>
    <xf numFmtId="0" fontId="70" fillId="8" borderId="72" xfId="7" applyFont="1" applyFill="1" applyBorder="1"/>
    <xf numFmtId="0" fontId="3" fillId="0" borderId="21" xfId="0" applyFont="1" applyBorder="1" applyAlignment="1">
      <alignment horizontal="center" vertical="center"/>
    </xf>
    <xf numFmtId="0" fontId="2" fillId="0" borderId="21" xfId="0" applyFont="1" applyBorder="1" applyAlignment="1">
      <alignment horizontal="center" vertical="center"/>
    </xf>
    <xf numFmtId="0" fontId="0" fillId="0" borderId="21" xfId="0" applyBorder="1" applyAlignment="1">
      <alignment horizontal="center" vertical="center"/>
    </xf>
    <xf numFmtId="0" fontId="81" fillId="0" borderId="0" xfId="0" applyFont="1" applyAlignment="1">
      <alignment horizontal="center" vertical="center"/>
    </xf>
    <xf numFmtId="0" fontId="81" fillId="0" borderId="29" xfId="0" applyFont="1" applyBorder="1" applyAlignment="1">
      <alignment horizontal="center" vertical="center"/>
    </xf>
    <xf numFmtId="0" fontId="0" fillId="0" borderId="29" xfId="0" applyBorder="1"/>
    <xf numFmtId="0" fontId="0" fillId="0" borderId="27" xfId="0" applyBorder="1"/>
    <xf numFmtId="0" fontId="60" fillId="0" borderId="26" xfId="0" applyFont="1" applyBorder="1" applyAlignment="1">
      <alignment horizontal="center" vertical="top"/>
    </xf>
    <xf numFmtId="0" fontId="0" fillId="0" borderId="24" xfId="0" applyBorder="1"/>
    <xf numFmtId="0" fontId="60" fillId="0" borderId="0" xfId="0" applyFont="1" applyAlignment="1">
      <alignment horizontal="center" vertical="top"/>
    </xf>
    <xf numFmtId="0" fontId="62" fillId="5" borderId="0" xfId="0" applyFont="1" applyFill="1" applyAlignment="1">
      <alignment horizontal="right"/>
    </xf>
    <xf numFmtId="1" fontId="0" fillId="0" borderId="0" xfId="0" applyNumberFormat="1"/>
    <xf numFmtId="2" fontId="0" fillId="0" borderId="0" xfId="0" applyNumberFormat="1"/>
    <xf numFmtId="1" fontId="0" fillId="0" borderId="26" xfId="0" applyNumberFormat="1" applyBorder="1"/>
    <xf numFmtId="2" fontId="0" fillId="0" borderId="26" xfId="0" applyNumberFormat="1" applyBorder="1"/>
    <xf numFmtId="2" fontId="0" fillId="0" borderId="27" xfId="0" applyNumberFormat="1" applyBorder="1"/>
    <xf numFmtId="0" fontId="79" fillId="3" borderId="0" xfId="0" applyFont="1" applyFill="1" applyAlignment="1">
      <alignment vertical="top" wrapText="1"/>
    </xf>
    <xf numFmtId="0" fontId="79" fillId="3" borderId="28" xfId="0" applyFont="1" applyFill="1" applyBorder="1" applyAlignment="1">
      <alignment vertical="top" wrapText="1"/>
    </xf>
    <xf numFmtId="173" fontId="2" fillId="0" borderId="4" xfId="0" applyNumberFormat="1" applyFont="1" applyBorder="1"/>
    <xf numFmtId="0" fontId="2" fillId="0" borderId="23" xfId="0" applyFont="1" applyBorder="1"/>
    <xf numFmtId="0" fontId="36" fillId="0" borderId="24" xfId="3" applyFont="1" applyFill="1" applyBorder="1" applyAlignment="1">
      <alignment vertical="center" wrapText="1"/>
    </xf>
    <xf numFmtId="0" fontId="36" fillId="0" borderId="29" xfId="3" applyFont="1" applyFill="1" applyBorder="1" applyAlignment="1">
      <alignment vertical="center" wrapText="1"/>
    </xf>
    <xf numFmtId="0" fontId="36" fillId="0" borderId="27" xfId="3" applyFont="1" applyFill="1" applyBorder="1" applyAlignment="1">
      <alignment vertical="center" wrapText="1"/>
    </xf>
    <xf numFmtId="0" fontId="84" fillId="8" borderId="74" xfId="0" applyFont="1" applyFill="1" applyBorder="1" applyAlignment="1">
      <alignment horizontal="center" vertical="center" wrapText="1"/>
    </xf>
    <xf numFmtId="0" fontId="84" fillId="8" borderId="59" xfId="0" applyFont="1" applyFill="1" applyBorder="1" applyAlignment="1">
      <alignment horizontal="center" vertical="center" wrapText="1"/>
    </xf>
    <xf numFmtId="0" fontId="84" fillId="8" borderId="87" xfId="0" applyFont="1" applyFill="1" applyBorder="1" applyAlignment="1">
      <alignment horizontal="center" vertical="center" wrapText="1"/>
    </xf>
    <xf numFmtId="0" fontId="84" fillId="4" borderId="88" xfId="0" applyFont="1" applyFill="1" applyBorder="1" applyAlignment="1">
      <alignment horizontal="center" vertical="center" wrapText="1"/>
    </xf>
    <xf numFmtId="0" fontId="83" fillId="14" borderId="12" xfId="0" applyFont="1" applyFill="1" applyBorder="1" applyAlignment="1">
      <alignment horizontal="center" vertical="center" wrapText="1"/>
    </xf>
    <xf numFmtId="0" fontId="83" fillId="14" borderId="89" xfId="0" applyFont="1" applyFill="1" applyBorder="1" applyAlignment="1">
      <alignment horizontal="center" vertical="center" wrapText="1"/>
    </xf>
    <xf numFmtId="0" fontId="84" fillId="0" borderId="90" xfId="0" applyFont="1" applyBorder="1" applyAlignment="1">
      <alignment horizontal="center" vertical="center" wrapText="1"/>
    </xf>
    <xf numFmtId="0" fontId="84" fillId="10" borderId="21" xfId="0" applyFont="1" applyFill="1" applyBorder="1" applyAlignment="1">
      <alignment horizontal="center" vertical="center" wrapText="1"/>
    </xf>
    <xf numFmtId="174" fontId="83" fillId="0" borderId="91" xfId="1" applyNumberFormat="1" applyFont="1" applyBorder="1" applyAlignment="1">
      <alignment horizontal="center" vertical="center" wrapText="1"/>
    </xf>
    <xf numFmtId="174" fontId="83" fillId="0" borderId="27" xfId="1" applyNumberFormat="1" applyFont="1" applyBorder="1" applyAlignment="1">
      <alignment horizontal="center" vertical="center" wrapText="1"/>
    </xf>
    <xf numFmtId="174" fontId="83" fillId="9" borderId="91" xfId="1" applyNumberFormat="1" applyFont="1" applyFill="1" applyBorder="1" applyAlignment="1">
      <alignment horizontal="center" vertical="center" wrapText="1"/>
    </xf>
    <xf numFmtId="0" fontId="4" fillId="0" borderId="0" xfId="0" applyFont="1" applyAlignment="1">
      <alignment horizontal="center" vertical="center"/>
    </xf>
    <xf numFmtId="0" fontId="87" fillId="0" borderId="21" xfId="0" applyFont="1" applyBorder="1" applyAlignment="1">
      <alignment horizontal="center" vertical="center"/>
    </xf>
    <xf numFmtId="0" fontId="89" fillId="0" borderId="0" xfId="0" applyFont="1" applyAlignment="1">
      <alignment horizontal="left" vertical="top"/>
    </xf>
    <xf numFmtId="0" fontId="76" fillId="0" borderId="28" xfId="0" applyFont="1" applyBorder="1"/>
    <xf numFmtId="0" fontId="89" fillId="0" borderId="28" xfId="0" applyFont="1" applyBorder="1" applyAlignment="1">
      <alignment horizontal="left" vertical="top"/>
    </xf>
    <xf numFmtId="0" fontId="89" fillId="0" borderId="29" xfId="0" applyFont="1" applyBorder="1" applyAlignment="1">
      <alignment horizontal="left" vertical="top"/>
    </xf>
    <xf numFmtId="0" fontId="4" fillId="0" borderId="28" xfId="0" applyFont="1" applyBorder="1" applyAlignment="1">
      <alignment horizontal="center" vertical="center"/>
    </xf>
    <xf numFmtId="0" fontId="75" fillId="0" borderId="28" xfId="0" applyFont="1" applyBorder="1" applyAlignment="1">
      <alignment horizontal="left" indent="2"/>
    </xf>
    <xf numFmtId="0" fontId="0" fillId="0" borderId="0" xfId="0" applyAlignment="1">
      <alignment vertical="top"/>
    </xf>
    <xf numFmtId="0" fontId="0" fillId="0" borderId="29" xfId="0" applyBorder="1" applyAlignment="1">
      <alignment vertical="top"/>
    </xf>
    <xf numFmtId="0" fontId="0" fillId="0" borderId="0" xfId="0" applyAlignment="1">
      <alignment vertical="top" wrapText="1"/>
    </xf>
    <xf numFmtId="171" fontId="62" fillId="14" borderId="65" xfId="0" applyNumberFormat="1" applyFont="1" applyFill="1" applyBorder="1" applyAlignment="1" applyProtection="1">
      <alignment horizontal="left"/>
      <protection locked="0"/>
    </xf>
    <xf numFmtId="169" fontId="62" fillId="14" borderId="65" xfId="0" applyNumberFormat="1" applyFont="1" applyFill="1" applyBorder="1" applyAlignment="1" applyProtection="1">
      <alignment horizontal="left"/>
      <protection locked="0"/>
    </xf>
    <xf numFmtId="170" fontId="62" fillId="14" borderId="65" xfId="0" applyNumberFormat="1" applyFont="1" applyFill="1" applyBorder="1" applyAlignment="1" applyProtection="1">
      <alignment horizontal="left"/>
      <protection locked="0"/>
    </xf>
    <xf numFmtId="174" fontId="62" fillId="14" borderId="64" xfId="5" applyNumberFormat="1" applyFont="1" applyFill="1" applyBorder="1" applyAlignment="1" applyProtection="1">
      <alignment horizontal="left"/>
      <protection locked="0"/>
    </xf>
    <xf numFmtId="0" fontId="94" fillId="10" borderId="0" xfId="0" applyFont="1" applyFill="1" applyAlignment="1">
      <alignment horizontal="justify" vertical="top"/>
    </xf>
    <xf numFmtId="10" fontId="71" fillId="14" borderId="59" xfId="6" applyNumberFormat="1" applyFont="1" applyFill="1" applyBorder="1"/>
    <xf numFmtId="164" fontId="95" fillId="8" borderId="68" xfId="8" applyFont="1" applyFill="1" applyBorder="1" applyAlignment="1">
      <alignment vertical="top"/>
    </xf>
    <xf numFmtId="0" fontId="2" fillId="0" borderId="21" xfId="0" applyFont="1" applyBorder="1" applyAlignment="1">
      <alignment horizontal="center" vertical="center" wrapText="1"/>
    </xf>
    <xf numFmtId="0" fontId="2" fillId="14" borderId="21" xfId="0" applyFont="1" applyFill="1" applyBorder="1" applyAlignment="1">
      <alignment horizontal="center" vertical="center"/>
    </xf>
    <xf numFmtId="0" fontId="2" fillId="13" borderId="21" xfId="0" applyFont="1" applyFill="1" applyBorder="1" applyAlignment="1">
      <alignment horizontal="center" vertical="center"/>
    </xf>
    <xf numFmtId="1" fontId="0" fillId="0" borderId="21" xfId="0" applyNumberFormat="1" applyBorder="1" applyAlignment="1">
      <alignment horizontal="center" vertical="center"/>
    </xf>
    <xf numFmtId="0" fontId="2" fillId="9" borderId="21" xfId="0" applyFont="1" applyFill="1" applyBorder="1" applyAlignment="1">
      <alignment horizontal="center" vertical="center"/>
    </xf>
    <xf numFmtId="0" fontId="0" fillId="9" borderId="21" xfId="0" applyFill="1" applyBorder="1" applyAlignment="1">
      <alignment horizontal="center" vertical="center"/>
    </xf>
    <xf numFmtId="1" fontId="0" fillId="9" borderId="21" xfId="0" applyNumberFormat="1" applyFill="1" applyBorder="1" applyAlignment="1">
      <alignment horizontal="center" vertical="center"/>
    </xf>
    <xf numFmtId="0" fontId="2" fillId="16" borderId="21" xfId="0" applyFont="1" applyFill="1" applyBorder="1" applyAlignment="1">
      <alignment horizontal="center" vertical="center"/>
    </xf>
    <xf numFmtId="0" fontId="2" fillId="12" borderId="21" xfId="0" applyFont="1" applyFill="1" applyBorder="1" applyAlignment="1">
      <alignment horizontal="center" vertical="center"/>
    </xf>
    <xf numFmtId="0" fontId="2" fillId="17" borderId="21" xfId="0" applyFont="1" applyFill="1" applyBorder="1" applyAlignment="1">
      <alignment horizontal="center" vertical="center"/>
    </xf>
    <xf numFmtId="0" fontId="0" fillId="17" borderId="21" xfId="0" applyFill="1" applyBorder="1" applyAlignment="1">
      <alignment horizontal="center" vertical="center"/>
    </xf>
    <xf numFmtId="1" fontId="0" fillId="17" borderId="21" xfId="0" applyNumberFormat="1" applyFill="1" applyBorder="1" applyAlignment="1">
      <alignment horizontal="center" vertical="center"/>
    </xf>
    <xf numFmtId="0" fontId="2" fillId="8" borderId="21" xfId="0" applyFont="1" applyFill="1" applyBorder="1" applyAlignment="1">
      <alignment horizontal="center" vertical="center"/>
    </xf>
    <xf numFmtId="0" fontId="0" fillId="8" borderId="21" xfId="0" applyFill="1" applyBorder="1" applyAlignment="1">
      <alignment horizontal="center" vertical="center"/>
    </xf>
    <xf numFmtId="1" fontId="0" fillId="8" borderId="21" xfId="0" applyNumberFormat="1" applyFill="1" applyBorder="1" applyAlignment="1">
      <alignment horizontal="center" vertical="center"/>
    </xf>
    <xf numFmtId="0" fontId="2" fillId="17" borderId="21" xfId="0" applyFont="1" applyFill="1" applyBorder="1" applyAlignment="1">
      <alignment horizontal="center" vertical="center" wrapText="1"/>
    </xf>
    <xf numFmtId="0" fontId="2" fillId="9" borderId="21" xfId="0" applyFont="1" applyFill="1" applyBorder="1" applyAlignment="1">
      <alignment horizontal="center" vertical="center" wrapText="1"/>
    </xf>
    <xf numFmtId="0" fontId="2" fillId="18" borderId="31" xfId="0" applyFont="1" applyFill="1" applyBorder="1" applyAlignment="1">
      <alignment horizontal="center" vertical="center"/>
    </xf>
    <xf numFmtId="0" fontId="2" fillId="18" borderId="0" xfId="0" applyFont="1" applyFill="1" applyAlignment="1">
      <alignment horizontal="center" vertical="center"/>
    </xf>
    <xf numFmtId="1" fontId="2" fillId="18" borderId="0" xfId="0" applyNumberFormat="1" applyFont="1" applyFill="1" applyAlignment="1">
      <alignment horizontal="center" vertical="center"/>
    </xf>
    <xf numFmtId="0" fontId="4" fillId="0" borderId="29" xfId="0" applyFont="1" applyBorder="1" applyAlignment="1">
      <alignment horizontal="center" vertical="center"/>
    </xf>
    <xf numFmtId="10" fontId="2" fillId="9" borderId="21" xfId="2" applyNumberFormat="1" applyFont="1" applyFill="1" applyBorder="1" applyAlignment="1">
      <alignment horizontal="center" vertical="center"/>
    </xf>
    <xf numFmtId="0" fontId="0" fillId="0" borderId="28" xfId="0" applyBorder="1" applyAlignment="1">
      <alignment horizontal="center" vertical="center"/>
    </xf>
    <xf numFmtId="0" fontId="0" fillId="0" borderId="0" xfId="0" applyProtection="1">
      <protection locked="0"/>
    </xf>
    <xf numFmtId="164" fontId="0" fillId="0" borderId="0" xfId="1" applyFont="1" applyFill="1" applyProtection="1">
      <protection locked="0"/>
    </xf>
    <xf numFmtId="164" fontId="0" fillId="0" borderId="0" xfId="1" applyFont="1" applyFill="1"/>
    <xf numFmtId="164" fontId="2" fillId="0" borderId="4" xfId="1" applyFont="1" applyFill="1" applyBorder="1"/>
    <xf numFmtId="9" fontId="0" fillId="0" borderId="0" xfId="2" applyFont="1" applyFill="1" applyAlignment="1" applyProtection="1">
      <alignment horizontal="center"/>
      <protection locked="0"/>
    </xf>
    <xf numFmtId="0" fontId="3" fillId="13" borderId="21" xfId="0" applyFont="1" applyFill="1" applyBorder="1" applyAlignment="1">
      <alignment horizontal="center" vertical="center"/>
    </xf>
    <xf numFmtId="0" fontId="22" fillId="0" borderId="23" xfId="0" applyFont="1" applyBorder="1" applyAlignment="1">
      <alignment horizontal="left" indent="2"/>
    </xf>
    <xf numFmtId="0" fontId="22" fillId="0" borderId="0" xfId="0" applyFont="1" applyAlignment="1">
      <alignment horizontal="left" indent="2"/>
    </xf>
    <xf numFmtId="0" fontId="22" fillId="0" borderId="26" xfId="0" applyFont="1" applyBorder="1" applyAlignment="1">
      <alignment horizontal="left" indent="2"/>
    </xf>
    <xf numFmtId="0" fontId="7" fillId="0" borderId="23" xfId="0" applyFont="1" applyBorder="1" applyAlignment="1">
      <alignment horizontal="left" indent="2"/>
    </xf>
    <xf numFmtId="0" fontId="15" fillId="0" borderId="26" xfId="0" applyFont="1" applyBorder="1" applyAlignment="1">
      <alignment horizontal="left" indent="2"/>
    </xf>
    <xf numFmtId="164" fontId="2" fillId="0" borderId="58" xfId="0" applyNumberFormat="1" applyFont="1" applyBorder="1"/>
    <xf numFmtId="0" fontId="0" fillId="0" borderId="22" xfId="0" applyBorder="1" applyAlignment="1">
      <alignment horizontal="left" indent="1"/>
    </xf>
    <xf numFmtId="164" fontId="0" fillId="7" borderId="24" xfId="1" applyFont="1" applyFill="1" applyBorder="1" applyProtection="1">
      <protection locked="0"/>
    </xf>
    <xf numFmtId="0" fontId="0" fillId="0" borderId="28" xfId="0" applyBorder="1" applyAlignment="1">
      <alignment horizontal="left" indent="1"/>
    </xf>
    <xf numFmtId="164" fontId="0" fillId="7" borderId="29" xfId="1" applyFont="1" applyFill="1" applyBorder="1" applyProtection="1">
      <protection locked="0"/>
    </xf>
    <xf numFmtId="0" fontId="0" fillId="0" borderId="25" xfId="0" applyBorder="1" applyAlignment="1">
      <alignment horizontal="left" indent="1"/>
    </xf>
    <xf numFmtId="164" fontId="0" fillId="7" borderId="27" xfId="1" applyFont="1" applyFill="1" applyBorder="1" applyProtection="1">
      <protection locked="0"/>
    </xf>
    <xf numFmtId="10" fontId="7" fillId="7" borderId="0" xfId="2" applyNumberFormat="1" applyFont="1" applyFill="1" applyBorder="1" applyAlignment="1" applyProtection="1">
      <alignment horizontal="left" indent="4"/>
      <protection locked="0"/>
    </xf>
    <xf numFmtId="0" fontId="0" fillId="7" borderId="22" xfId="0" applyFill="1" applyBorder="1" applyAlignment="1" applyProtection="1">
      <alignment horizontal="left" indent="1"/>
      <protection locked="0"/>
    </xf>
    <xf numFmtId="10" fontId="7" fillId="7" borderId="23" xfId="2" applyNumberFormat="1" applyFont="1" applyFill="1" applyBorder="1" applyAlignment="1" applyProtection="1">
      <alignment horizontal="left" indent="4"/>
      <protection locked="0"/>
    </xf>
    <xf numFmtId="0" fontId="7" fillId="7" borderId="48" xfId="0" applyFont="1" applyFill="1" applyBorder="1" applyAlignment="1" applyProtection="1">
      <alignment horizontal="center"/>
      <protection locked="0"/>
    </xf>
    <xf numFmtId="0" fontId="0" fillId="7" borderId="28" xfId="0" applyFill="1" applyBorder="1" applyAlignment="1" applyProtection="1">
      <alignment horizontal="left" indent="1"/>
      <protection locked="0"/>
    </xf>
    <xf numFmtId="0" fontId="7" fillId="7" borderId="39" xfId="0" applyFont="1" applyFill="1" applyBorder="1" applyAlignment="1" applyProtection="1">
      <alignment horizontal="center"/>
      <protection locked="0"/>
    </xf>
    <xf numFmtId="0" fontId="0" fillId="7" borderId="25" xfId="0" applyFill="1" applyBorder="1" applyAlignment="1" applyProtection="1">
      <alignment horizontal="left" indent="1"/>
      <protection locked="0"/>
    </xf>
    <xf numFmtId="10" fontId="7" fillId="7" borderId="26" xfId="2" applyNumberFormat="1" applyFont="1" applyFill="1" applyBorder="1" applyAlignment="1" applyProtection="1">
      <alignment horizontal="left" indent="4"/>
      <protection locked="0"/>
    </xf>
    <xf numFmtId="0" fontId="7" fillId="7" borderId="40" xfId="0" applyFont="1" applyFill="1" applyBorder="1" applyAlignment="1" applyProtection="1">
      <alignment horizontal="center"/>
      <protection locked="0"/>
    </xf>
    <xf numFmtId="0" fontId="0" fillId="7" borderId="30" xfId="0" applyFill="1" applyBorder="1" applyAlignment="1" applyProtection="1">
      <alignment horizontal="left" indent="1"/>
      <protection locked="0"/>
    </xf>
    <xf numFmtId="0" fontId="0" fillId="7" borderId="32" xfId="0" applyFill="1" applyBorder="1" applyAlignment="1" applyProtection="1">
      <alignment horizontal="left" indent="1"/>
      <protection locked="0"/>
    </xf>
    <xf numFmtId="0" fontId="0" fillId="7" borderId="31" xfId="0" applyFill="1" applyBorder="1" applyAlignment="1" applyProtection="1">
      <alignment horizontal="left" indent="1"/>
      <protection locked="0"/>
    </xf>
    <xf numFmtId="0" fontId="0" fillId="0" borderId="30" xfId="0" applyBorder="1" applyAlignment="1">
      <alignment horizontal="left" indent="1"/>
    </xf>
    <xf numFmtId="0" fontId="0" fillId="0" borderId="31" xfId="0" applyBorder="1" applyAlignment="1">
      <alignment horizontal="left" indent="1"/>
    </xf>
    <xf numFmtId="164" fontId="0" fillId="7" borderId="50" xfId="1" applyFont="1" applyFill="1" applyBorder="1" applyProtection="1">
      <protection locked="0"/>
    </xf>
    <xf numFmtId="164" fontId="0" fillId="7" borderId="35" xfId="1" applyFont="1" applyFill="1" applyBorder="1" applyProtection="1">
      <protection locked="0"/>
    </xf>
    <xf numFmtId="164" fontId="0" fillId="7" borderId="52" xfId="1" applyFont="1" applyFill="1" applyBorder="1" applyProtection="1">
      <protection locked="0"/>
    </xf>
    <xf numFmtId="164" fontId="0" fillId="7" borderId="51" xfId="1" applyFont="1" applyFill="1" applyBorder="1" applyProtection="1">
      <protection locked="0"/>
    </xf>
    <xf numFmtId="164" fontId="0" fillId="7" borderId="36" xfId="1" applyFont="1" applyFill="1" applyBorder="1" applyProtection="1">
      <protection locked="0"/>
    </xf>
    <xf numFmtId="164" fontId="0" fillId="7" borderId="47" xfId="1" applyFont="1" applyFill="1" applyBorder="1" applyProtection="1">
      <protection locked="0"/>
    </xf>
    <xf numFmtId="0" fontId="0" fillId="7" borderId="22" xfId="0" applyFill="1" applyBorder="1" applyProtection="1">
      <protection locked="0"/>
    </xf>
    <xf numFmtId="173" fontId="2" fillId="0" borderId="12" xfId="4" applyNumberFormat="1" applyFont="1" applyBorder="1"/>
    <xf numFmtId="0" fontId="2" fillId="0" borderId="22" xfId="0" applyFont="1" applyBorder="1" applyAlignment="1">
      <alignment horizontal="right" vertical="center" wrapText="1"/>
    </xf>
    <xf numFmtId="0" fontId="2" fillId="0" borderId="23" xfId="0" applyFont="1" applyBorder="1" applyAlignment="1">
      <alignment horizontal="right" vertical="center" wrapText="1"/>
    </xf>
    <xf numFmtId="0" fontId="2" fillId="0" borderId="24" xfId="0" applyFont="1" applyBorder="1" applyAlignment="1">
      <alignment horizontal="right" vertical="center" wrapText="1"/>
    </xf>
    <xf numFmtId="164" fontId="0" fillId="0" borderId="29" xfId="1" applyFont="1" applyBorder="1"/>
    <xf numFmtId="0" fontId="77" fillId="0" borderId="0" xfId="0" applyFont="1"/>
    <xf numFmtId="0" fontId="77" fillId="0" borderId="0" xfId="0" applyFont="1" applyAlignment="1">
      <alignment horizontal="center" vertical="center"/>
    </xf>
    <xf numFmtId="0" fontId="96" fillId="0" borderId="28" xfId="6" applyFont="1" applyBorder="1"/>
    <xf numFmtId="0" fontId="71" fillId="0" borderId="0" xfId="6" applyFont="1"/>
    <xf numFmtId="0" fontId="97" fillId="9" borderId="74" xfId="6" applyFont="1" applyFill="1" applyBorder="1"/>
    <xf numFmtId="0" fontId="3" fillId="0" borderId="28" xfId="0" applyFont="1" applyBorder="1"/>
    <xf numFmtId="0" fontId="0" fillId="14" borderId="0" xfId="0" applyFill="1"/>
    <xf numFmtId="0" fontId="0" fillId="0" borderId="0" xfId="0" applyAlignment="1">
      <alignment horizontal="center" vertical="center"/>
    </xf>
    <xf numFmtId="0" fontId="0" fillId="0" borderId="29" xfId="0" applyBorder="1" applyAlignment="1">
      <alignment horizontal="center" vertical="center"/>
    </xf>
    <xf numFmtId="0" fontId="102" fillId="0" borderId="26" xfId="0" applyFont="1" applyBorder="1" applyAlignment="1">
      <alignment horizontal="left" vertical="top"/>
    </xf>
    <xf numFmtId="0" fontId="102" fillId="0" borderId="25" xfId="0" applyFont="1" applyBorder="1" applyAlignment="1">
      <alignment horizontal="left" vertical="top"/>
    </xf>
    <xf numFmtId="0" fontId="102" fillId="0" borderId="27" xfId="0" applyFont="1" applyBorder="1" applyAlignment="1">
      <alignment horizontal="left" vertical="top"/>
    </xf>
    <xf numFmtId="0" fontId="77" fillId="9" borderId="37" xfId="0" applyFont="1" applyFill="1" applyBorder="1" applyAlignment="1">
      <alignment horizontal="center" vertical="center"/>
    </xf>
    <xf numFmtId="0" fontId="2" fillId="0" borderId="38" xfId="0" applyFont="1" applyBorder="1" applyAlignment="1">
      <alignment horizontal="center" vertical="center"/>
    </xf>
    <xf numFmtId="0" fontId="3" fillId="7" borderId="21" xfId="0" applyFont="1" applyFill="1" applyBorder="1" applyAlignment="1">
      <alignment horizontal="center" vertical="center"/>
    </xf>
    <xf numFmtId="0" fontId="3" fillId="23" borderId="21" xfId="0" applyFont="1" applyFill="1" applyBorder="1" applyAlignment="1">
      <alignment horizontal="center" vertical="center"/>
    </xf>
    <xf numFmtId="0" fontId="3" fillId="24" borderId="21" xfId="0" applyFont="1" applyFill="1" applyBorder="1" applyAlignment="1">
      <alignment horizontal="center" vertical="center"/>
    </xf>
    <xf numFmtId="0" fontId="3" fillId="25" borderId="21" xfId="0" applyFont="1" applyFill="1" applyBorder="1" applyAlignment="1">
      <alignment horizontal="center" vertical="center"/>
    </xf>
    <xf numFmtId="0" fontId="3" fillId="18" borderId="21" xfId="0" applyFont="1" applyFill="1" applyBorder="1" applyAlignment="1">
      <alignment horizontal="center" vertical="center"/>
    </xf>
    <xf numFmtId="175" fontId="0" fillId="7" borderId="30" xfId="1" applyNumberFormat="1" applyFont="1" applyFill="1" applyBorder="1" applyProtection="1">
      <protection locked="0"/>
    </xf>
    <xf numFmtId="175" fontId="0" fillId="7" borderId="32" xfId="1" applyNumberFormat="1" applyFont="1" applyFill="1" applyBorder="1" applyProtection="1">
      <protection locked="0"/>
    </xf>
    <xf numFmtId="175" fontId="0" fillId="7" borderId="31" xfId="1" applyNumberFormat="1" applyFont="1" applyFill="1" applyBorder="1" applyProtection="1">
      <protection locked="0"/>
    </xf>
    <xf numFmtId="175" fontId="2" fillId="0" borderId="58" xfId="0" applyNumberFormat="1" applyFont="1" applyBorder="1"/>
    <xf numFmtId="8" fontId="106" fillId="26" borderId="0" xfId="0" applyNumberFormat="1" applyFont="1" applyFill="1" applyAlignment="1">
      <alignment horizontal="center" vertical="center" wrapText="1"/>
    </xf>
    <xf numFmtId="0" fontId="106" fillId="26" borderId="0" xfId="0" applyFont="1" applyFill="1" applyAlignment="1">
      <alignment horizontal="center" vertical="center" wrapText="1"/>
    </xf>
    <xf numFmtId="8" fontId="0" fillId="0" borderId="0" xfId="0" applyNumberFormat="1"/>
    <xf numFmtId="2" fontId="106" fillId="26" borderId="0" xfId="0" applyNumberFormat="1" applyFont="1" applyFill="1" applyAlignment="1">
      <alignment horizontal="center" vertical="center"/>
    </xf>
    <xf numFmtId="176" fontId="44" fillId="0" borderId="35" xfId="1" applyNumberFormat="1" applyFont="1" applyFill="1" applyBorder="1"/>
    <xf numFmtId="176" fontId="44" fillId="0" borderId="2" xfId="1" applyNumberFormat="1" applyFont="1" applyFill="1" applyBorder="1"/>
    <xf numFmtId="176" fontId="51" fillId="8" borderId="34" xfId="1" applyNumberFormat="1" applyFont="1" applyFill="1" applyBorder="1"/>
    <xf numFmtId="176" fontId="44" fillId="0" borderId="36" xfId="1" applyNumberFormat="1" applyFont="1" applyFill="1" applyBorder="1"/>
    <xf numFmtId="174" fontId="44" fillId="0" borderId="35" xfId="1" applyNumberFormat="1" applyFont="1" applyFill="1" applyBorder="1"/>
    <xf numFmtId="174" fontId="44" fillId="0" borderId="2" xfId="1" applyNumberFormat="1" applyFont="1" applyFill="1" applyBorder="1"/>
    <xf numFmtId="174" fontId="51" fillId="8" borderId="34" xfId="1" applyNumberFormat="1" applyFont="1" applyFill="1" applyBorder="1"/>
    <xf numFmtId="174" fontId="44" fillId="0" borderId="36" xfId="1" applyNumberFormat="1" applyFont="1" applyFill="1" applyBorder="1"/>
    <xf numFmtId="174" fontId="48" fillId="0" borderId="50" xfId="0" applyNumberFormat="1" applyFont="1" applyBorder="1" applyAlignment="1">
      <alignment vertical="center"/>
    </xf>
    <xf numFmtId="174" fontId="48" fillId="0" borderId="35" xfId="0" applyNumberFormat="1" applyFont="1" applyBorder="1" applyAlignment="1">
      <alignment vertical="center"/>
    </xf>
    <xf numFmtId="174" fontId="48" fillId="0" borderId="43" xfId="0" applyNumberFormat="1" applyFont="1" applyBorder="1" applyAlignment="1">
      <alignment vertical="center"/>
    </xf>
    <xf numFmtId="174" fontId="47" fillId="0" borderId="55" xfId="0" applyNumberFormat="1" applyFont="1" applyBorder="1" applyAlignment="1">
      <alignment vertical="center"/>
    </xf>
    <xf numFmtId="174" fontId="48" fillId="0" borderId="52" xfId="1" applyNumberFormat="1" applyFont="1" applyFill="1" applyBorder="1"/>
    <xf numFmtId="174" fontId="48" fillId="0" borderId="2" xfId="1" applyNumberFormat="1" applyFont="1" applyFill="1" applyBorder="1"/>
    <xf numFmtId="174" fontId="48" fillId="0" borderId="3" xfId="1" applyNumberFormat="1" applyFont="1" applyFill="1" applyBorder="1"/>
    <xf numFmtId="174" fontId="47" fillId="0" borderId="56" xfId="1" applyNumberFormat="1" applyFont="1" applyFill="1" applyBorder="1"/>
    <xf numFmtId="174" fontId="48" fillId="0" borderId="50" xfId="1" applyNumberFormat="1" applyFont="1" applyFill="1" applyBorder="1"/>
    <xf numFmtId="174" fontId="48" fillId="0" borderId="35" xfId="1" applyNumberFormat="1" applyFont="1" applyFill="1" applyBorder="1"/>
    <xf numFmtId="174" fontId="48" fillId="0" borderId="43" xfId="1" applyNumberFormat="1" applyFont="1" applyFill="1" applyBorder="1"/>
    <xf numFmtId="174" fontId="47" fillId="0" borderId="55" xfId="1" applyNumberFormat="1" applyFont="1" applyFill="1" applyBorder="1"/>
    <xf numFmtId="174" fontId="47" fillId="8" borderId="49" xfId="1" applyNumberFormat="1" applyFont="1" applyFill="1" applyBorder="1"/>
    <xf numFmtId="174" fontId="47" fillId="8" borderId="34" xfId="1" applyNumberFormat="1" applyFont="1" applyFill="1" applyBorder="1"/>
    <xf numFmtId="174" fontId="47" fillId="8" borderId="44" xfId="1" applyNumberFormat="1" applyFont="1" applyFill="1" applyBorder="1"/>
    <xf numFmtId="174" fontId="47" fillId="8" borderId="57" xfId="1" applyNumberFormat="1" applyFont="1" applyFill="1" applyBorder="1"/>
    <xf numFmtId="174" fontId="47" fillId="0" borderId="2" xfId="1" applyNumberFormat="1" applyFont="1" applyFill="1" applyBorder="1"/>
    <xf numFmtId="174" fontId="47" fillId="0" borderId="3" xfId="1" applyNumberFormat="1" applyFont="1" applyFill="1" applyBorder="1"/>
    <xf numFmtId="174" fontId="47" fillId="0" borderId="52" xfId="1" applyNumberFormat="1" applyFont="1" applyFill="1" applyBorder="1"/>
    <xf numFmtId="174" fontId="50" fillId="0" borderId="56" xfId="1" applyNumberFormat="1" applyFont="1" applyFill="1" applyBorder="1"/>
    <xf numFmtId="174" fontId="2" fillId="8" borderId="49" xfId="1" applyNumberFormat="1" applyFont="1" applyFill="1" applyBorder="1"/>
    <xf numFmtId="174" fontId="2" fillId="8" borderId="34" xfId="1" applyNumberFormat="1" applyFont="1" applyFill="1" applyBorder="1"/>
    <xf numFmtId="174" fontId="2" fillId="8" borderId="44" xfId="1" applyNumberFormat="1" applyFont="1" applyFill="1" applyBorder="1"/>
    <xf numFmtId="174" fontId="2" fillId="8" borderId="57" xfId="1" applyNumberFormat="1" applyFont="1" applyFill="1" applyBorder="1"/>
    <xf numFmtId="174" fontId="31" fillId="0" borderId="52" xfId="1" applyNumberFormat="1" applyFont="1" applyFill="1" applyBorder="1"/>
    <xf numFmtId="174" fontId="31" fillId="0" borderId="2" xfId="1" applyNumberFormat="1" applyFont="1" applyFill="1" applyBorder="1"/>
    <xf numFmtId="174" fontId="31" fillId="0" borderId="3" xfId="1" applyNumberFormat="1" applyFont="1" applyFill="1" applyBorder="1"/>
    <xf numFmtId="174" fontId="30" fillId="0" borderId="56" xfId="1" applyNumberFormat="1" applyFont="1" applyFill="1" applyBorder="1"/>
    <xf numFmtId="0" fontId="51" fillId="8" borderId="24" xfId="0" applyFont="1" applyFill="1" applyBorder="1" applyAlignment="1">
      <alignment horizontal="center" vertical="center"/>
    </xf>
    <xf numFmtId="0" fontId="51" fillId="8" borderId="27" xfId="0" applyFont="1" applyFill="1" applyBorder="1" applyAlignment="1">
      <alignment horizontal="center" vertical="center"/>
    </xf>
    <xf numFmtId="0" fontId="4" fillId="0" borderId="0" xfId="0" applyFont="1" applyAlignment="1">
      <alignment horizontal="center"/>
    </xf>
    <xf numFmtId="0" fontId="75" fillId="0" borderId="0" xfId="0" applyFont="1" applyAlignment="1">
      <alignment horizontal="center" vertical="center"/>
    </xf>
    <xf numFmtId="0" fontId="75" fillId="9" borderId="33" xfId="0" applyFont="1" applyFill="1" applyBorder="1" applyAlignment="1">
      <alignment horizontal="center" vertical="center"/>
    </xf>
    <xf numFmtId="0" fontId="75" fillId="9" borderId="37" xfId="0" applyFont="1" applyFill="1" applyBorder="1" applyAlignment="1">
      <alignment horizontal="center" vertical="center"/>
    </xf>
    <xf numFmtId="0" fontId="3" fillId="18" borderId="21" xfId="0" applyFont="1" applyFill="1" applyBorder="1" applyAlignment="1">
      <alignment horizontal="center" vertical="center"/>
    </xf>
    <xf numFmtId="0" fontId="0" fillId="18" borderId="21" xfId="0" applyFill="1" applyBorder="1" applyAlignment="1">
      <alignment horizontal="left" vertical="center" wrapText="1"/>
    </xf>
    <xf numFmtId="0" fontId="0" fillId="18" borderId="21" xfId="0" applyFill="1" applyBorder="1" applyAlignment="1">
      <alignment horizontal="left" vertical="center"/>
    </xf>
    <xf numFmtId="0" fontId="3" fillId="13" borderId="21" xfId="0" applyFont="1" applyFill="1" applyBorder="1" applyAlignment="1">
      <alignment horizontal="center" vertical="center"/>
    </xf>
    <xf numFmtId="0" fontId="0" fillId="13" borderId="21" xfId="0" applyFill="1" applyBorder="1" applyAlignment="1">
      <alignment vertical="top" wrapText="1"/>
    </xf>
    <xf numFmtId="0" fontId="0" fillId="13" borderId="21" xfId="0" applyFill="1" applyBorder="1" applyAlignment="1">
      <alignment vertical="top"/>
    </xf>
    <xf numFmtId="0" fontId="3" fillId="24" borderId="21" xfId="0" applyFont="1" applyFill="1" applyBorder="1" applyAlignment="1">
      <alignment horizontal="center" vertical="center" wrapText="1"/>
    </xf>
    <xf numFmtId="0" fontId="3" fillId="24" borderId="21" xfId="0" applyFont="1" applyFill="1" applyBorder="1" applyAlignment="1">
      <alignment horizontal="center" vertical="center"/>
    </xf>
    <xf numFmtId="0" fontId="0" fillId="24" borderId="21" xfId="0" applyFill="1" applyBorder="1" applyAlignment="1">
      <alignment vertical="top" wrapText="1"/>
    </xf>
    <xf numFmtId="0" fontId="0" fillId="24" borderId="21" xfId="0" applyFill="1" applyBorder="1" applyAlignment="1">
      <alignment vertical="top"/>
    </xf>
    <xf numFmtId="0" fontId="3" fillId="25" borderId="21" xfId="0" applyFont="1" applyFill="1" applyBorder="1" applyAlignment="1">
      <alignment horizontal="center" vertical="center" wrapText="1"/>
    </xf>
    <xf numFmtId="0" fontId="3" fillId="25" borderId="21" xfId="0" applyFont="1" applyFill="1" applyBorder="1" applyAlignment="1">
      <alignment horizontal="center" vertical="center"/>
    </xf>
    <xf numFmtId="0" fontId="0" fillId="25" borderId="21" xfId="0" applyFill="1" applyBorder="1" applyAlignment="1">
      <alignment horizontal="left" vertical="center"/>
    </xf>
    <xf numFmtId="0" fontId="3" fillId="0" borderId="21" xfId="0" applyFont="1" applyBorder="1" applyAlignment="1">
      <alignment horizontal="center" vertical="center"/>
    </xf>
    <xf numFmtId="0" fontId="0" fillId="0" borderId="21" xfId="0" applyBorder="1" applyAlignment="1">
      <alignment vertical="center"/>
    </xf>
    <xf numFmtId="0" fontId="0" fillId="13" borderId="21" xfId="0" applyFill="1" applyBorder="1" applyAlignment="1">
      <alignment horizontal="center" vertical="center"/>
    </xf>
    <xf numFmtId="0" fontId="3" fillId="13" borderId="21" xfId="0" applyFont="1" applyFill="1" applyBorder="1" applyAlignment="1">
      <alignment horizontal="center" vertical="center" wrapText="1"/>
    </xf>
    <xf numFmtId="0" fontId="0" fillId="13" borderId="21" xfId="0" applyFill="1" applyBorder="1" applyAlignment="1">
      <alignment horizontal="left" vertical="top" wrapText="1"/>
    </xf>
    <xf numFmtId="0" fontId="3" fillId="7" borderId="21" xfId="0" applyFont="1" applyFill="1" applyBorder="1" applyAlignment="1">
      <alignment horizontal="center" vertical="center"/>
    </xf>
    <xf numFmtId="0" fontId="0" fillId="7" borderId="21" xfId="0" applyFill="1" applyBorder="1" applyAlignment="1">
      <alignment vertical="top" wrapText="1"/>
    </xf>
    <xf numFmtId="0" fontId="0" fillId="7" borderId="21" xfId="0" applyFill="1" applyBorder="1" applyAlignment="1">
      <alignment vertical="top"/>
    </xf>
    <xf numFmtId="0" fontId="3" fillId="23" borderId="21" xfId="0" applyFont="1" applyFill="1" applyBorder="1" applyAlignment="1">
      <alignment horizontal="center" vertical="center"/>
    </xf>
    <xf numFmtId="0" fontId="0" fillId="23" borderId="21" xfId="0" applyFill="1" applyBorder="1" applyAlignment="1">
      <alignment horizontal="left" vertical="center"/>
    </xf>
    <xf numFmtId="0" fontId="0" fillId="14" borderId="21" xfId="0" applyFill="1" applyBorder="1" applyAlignment="1">
      <alignment horizontal="center" vertical="center"/>
    </xf>
    <xf numFmtId="0" fontId="3" fillId="14" borderId="21" xfId="0" applyFont="1" applyFill="1" applyBorder="1" applyAlignment="1">
      <alignment horizontal="center" vertical="center"/>
    </xf>
    <xf numFmtId="0" fontId="0" fillId="14" borderId="21" xfId="0" applyFill="1" applyBorder="1" applyAlignment="1">
      <alignment horizontal="left" vertical="top" wrapText="1"/>
    </xf>
    <xf numFmtId="0" fontId="0" fillId="14" borderId="21" xfId="0" applyFill="1" applyBorder="1" applyAlignment="1">
      <alignment horizontal="left" vertical="top"/>
    </xf>
    <xf numFmtId="0" fontId="0" fillId="22" borderId="21" xfId="0" applyFill="1" applyBorder="1" applyAlignment="1">
      <alignment horizontal="center" vertical="center"/>
    </xf>
    <xf numFmtId="0" fontId="3" fillId="22" borderId="21" xfId="0" applyFont="1" applyFill="1" applyBorder="1" applyAlignment="1">
      <alignment horizontal="center" vertical="center" wrapText="1"/>
    </xf>
    <xf numFmtId="0" fontId="3" fillId="22" borderId="21" xfId="0" applyFont="1" applyFill="1" applyBorder="1" applyAlignment="1">
      <alignment horizontal="center" vertical="center"/>
    </xf>
    <xf numFmtId="0" fontId="0" fillId="22" borderId="21" xfId="0" applyFill="1" applyBorder="1" applyAlignment="1">
      <alignment horizontal="left" vertical="top" wrapText="1"/>
    </xf>
    <xf numFmtId="0" fontId="0" fillId="22" borderId="21" xfId="0" applyFill="1" applyBorder="1" applyAlignment="1">
      <alignment horizontal="left" vertical="top"/>
    </xf>
    <xf numFmtId="0" fontId="0" fillId="21" borderId="21" xfId="0" applyFill="1" applyBorder="1" applyAlignment="1">
      <alignment horizontal="center" vertical="center"/>
    </xf>
    <xf numFmtId="0" fontId="3" fillId="21" borderId="21" xfId="0" applyFont="1" applyFill="1" applyBorder="1" applyAlignment="1">
      <alignment horizontal="center" vertical="center"/>
    </xf>
    <xf numFmtId="0" fontId="0" fillId="21" borderId="21" xfId="0" applyFill="1" applyBorder="1" applyAlignment="1">
      <alignment horizontal="left" vertical="top" wrapText="1"/>
    </xf>
    <xf numFmtId="0" fontId="102" fillId="0" borderId="22" xfId="0" applyFont="1" applyBorder="1" applyAlignment="1">
      <alignment horizontal="left" vertical="top" wrapText="1"/>
    </xf>
    <xf numFmtId="0" fontId="102" fillId="0" borderId="23" xfId="0" applyFont="1" applyBorder="1" applyAlignment="1">
      <alignment horizontal="left" vertical="top"/>
    </xf>
    <xf numFmtId="0" fontId="102" fillId="0" borderId="24" xfId="0" applyFont="1" applyBorder="1" applyAlignment="1">
      <alignment horizontal="left" vertical="top"/>
    </xf>
    <xf numFmtId="0" fontId="102" fillId="0" borderId="25" xfId="0" applyFont="1" applyBorder="1" applyAlignment="1">
      <alignment horizontal="left" vertical="top"/>
    </xf>
    <xf numFmtId="0" fontId="102" fillId="0" borderId="26" xfId="0" applyFont="1" applyBorder="1" applyAlignment="1">
      <alignment horizontal="left" vertical="top"/>
    </xf>
    <xf numFmtId="0" fontId="102" fillId="0" borderId="27" xfId="0" applyFont="1" applyBorder="1" applyAlignment="1">
      <alignment horizontal="left" vertical="top"/>
    </xf>
    <xf numFmtId="0" fontId="85" fillId="0" borderId="22" xfId="0" applyFont="1" applyBorder="1" applyAlignment="1">
      <alignment horizontal="center" vertical="center"/>
    </xf>
    <xf numFmtId="0" fontId="85" fillId="0" borderId="23" xfId="0" applyFont="1" applyBorder="1" applyAlignment="1">
      <alignment horizontal="center" vertical="center"/>
    </xf>
    <xf numFmtId="0" fontId="85" fillId="0" borderId="24" xfId="0" applyFont="1" applyBorder="1" applyAlignment="1">
      <alignment horizontal="center" vertical="center"/>
    </xf>
    <xf numFmtId="0" fontId="85" fillId="0" borderId="28" xfId="0" applyFont="1" applyBorder="1" applyAlignment="1">
      <alignment horizontal="center" vertical="center"/>
    </xf>
    <xf numFmtId="0" fontId="85" fillId="0" borderId="0" xfId="0" applyFont="1" applyAlignment="1">
      <alignment horizontal="center" vertical="center"/>
    </xf>
    <xf numFmtId="0" fontId="85" fillId="0" borderId="29" xfId="0" applyFont="1" applyBorder="1" applyAlignment="1">
      <alignment horizontal="center" vertical="center"/>
    </xf>
    <xf numFmtId="0" fontId="6" fillId="20" borderId="21" xfId="0" applyFont="1" applyFill="1" applyBorder="1" applyAlignment="1">
      <alignment horizontal="center"/>
    </xf>
    <xf numFmtId="0" fontId="101" fillId="20" borderId="21" xfId="0" applyFont="1" applyFill="1" applyBorder="1" applyAlignment="1">
      <alignment horizontal="center"/>
    </xf>
    <xf numFmtId="0" fontId="5" fillId="0" borderId="21" xfId="0" applyFont="1" applyBorder="1" applyAlignment="1">
      <alignment horizontal="center" vertical="center"/>
    </xf>
    <xf numFmtId="0" fontId="6" fillId="0" borderId="21" xfId="0" applyFont="1" applyBorder="1" applyAlignment="1">
      <alignment horizontal="left" vertical="center"/>
    </xf>
    <xf numFmtId="0" fontId="6" fillId="14" borderId="0" xfId="0" applyFont="1" applyFill="1" applyAlignment="1">
      <alignment horizontal="center" vertical="center"/>
    </xf>
    <xf numFmtId="0" fontId="0" fillId="7" borderId="22" xfId="0" applyFill="1" applyBorder="1" applyAlignment="1" applyProtection="1">
      <alignment horizontal="left"/>
      <protection locked="0"/>
    </xf>
    <xf numFmtId="0" fontId="0" fillId="7" borderId="24" xfId="0" applyFill="1" applyBorder="1" applyAlignment="1" applyProtection="1">
      <alignment horizontal="left"/>
      <protection locked="0"/>
    </xf>
    <xf numFmtId="0" fontId="0" fillId="7" borderId="28" xfId="0" applyFill="1" applyBorder="1" applyAlignment="1" applyProtection="1">
      <alignment horizontal="left"/>
      <protection locked="0"/>
    </xf>
    <xf numFmtId="0" fontId="0" fillId="7" borderId="29" xfId="0" applyFill="1" applyBorder="1" applyAlignment="1" applyProtection="1">
      <alignment horizontal="left"/>
      <protection locked="0"/>
    </xf>
    <xf numFmtId="167" fontId="0" fillId="7" borderId="28" xfId="0" applyNumberFormat="1" applyFill="1" applyBorder="1" applyAlignment="1" applyProtection="1">
      <alignment horizontal="left"/>
      <protection locked="0"/>
    </xf>
    <xf numFmtId="167" fontId="0" fillId="7" borderId="29" xfId="0" applyNumberFormat="1" applyFill="1" applyBorder="1" applyAlignment="1" applyProtection="1">
      <alignment horizontal="left"/>
      <protection locked="0"/>
    </xf>
    <xf numFmtId="0" fontId="18" fillId="7" borderId="28" xfId="3" applyFill="1" applyBorder="1" applyAlignment="1" applyProtection="1">
      <alignment horizontal="left"/>
      <protection locked="0"/>
    </xf>
    <xf numFmtId="0" fontId="18" fillId="7" borderId="29" xfId="3" applyFill="1" applyBorder="1" applyAlignment="1" applyProtection="1">
      <alignment horizontal="left"/>
      <protection locked="0"/>
    </xf>
    <xf numFmtId="0" fontId="99" fillId="12" borderId="22" xfId="0" applyFont="1" applyFill="1" applyBorder="1" applyAlignment="1">
      <alignment horizontal="center"/>
    </xf>
    <xf numFmtId="0" fontId="99" fillId="12" borderId="23" xfId="0" applyFont="1" applyFill="1" applyBorder="1" applyAlignment="1">
      <alignment horizontal="center"/>
    </xf>
    <xf numFmtId="0" fontId="99" fillId="12" borderId="24" xfId="0" applyFont="1" applyFill="1" applyBorder="1" applyAlignment="1">
      <alignment horizontal="center"/>
    </xf>
    <xf numFmtId="0" fontId="99" fillId="12" borderId="25" xfId="0" applyFont="1" applyFill="1" applyBorder="1" applyAlignment="1">
      <alignment horizontal="center" vertical="center"/>
    </xf>
    <xf numFmtId="0" fontId="99" fillId="12" borderId="26" xfId="0" applyFont="1" applyFill="1" applyBorder="1" applyAlignment="1">
      <alignment horizontal="center" vertical="center"/>
    </xf>
    <xf numFmtId="0" fontId="99" fillId="12" borderId="27" xfId="0" applyFont="1" applyFill="1" applyBorder="1" applyAlignment="1">
      <alignment horizontal="center" vertical="center"/>
    </xf>
    <xf numFmtId="0" fontId="59" fillId="9" borderId="33" xfId="0" applyFont="1" applyFill="1" applyBorder="1" applyAlignment="1">
      <alignment horizontal="center" vertical="center" wrapText="1"/>
    </xf>
    <xf numFmtId="0" fontId="59" fillId="9" borderId="37" xfId="0" applyFont="1" applyFill="1" applyBorder="1" applyAlignment="1">
      <alignment horizontal="center" vertical="center" wrapText="1"/>
    </xf>
    <xf numFmtId="0" fontId="59" fillId="9" borderId="38" xfId="0" applyFont="1" applyFill="1" applyBorder="1" applyAlignment="1">
      <alignment horizontal="center" vertical="center" wrapText="1"/>
    </xf>
    <xf numFmtId="0" fontId="7" fillId="0" borderId="0" xfId="0" applyFont="1" applyAlignment="1">
      <alignment horizontal="left" wrapText="1" indent="5"/>
    </xf>
    <xf numFmtId="17" fontId="0" fillId="7" borderId="33" xfId="0" applyNumberFormat="1" applyFill="1" applyBorder="1" applyAlignment="1" applyProtection="1">
      <alignment horizontal="left"/>
      <protection locked="0"/>
    </xf>
    <xf numFmtId="17" fontId="0" fillId="7" borderId="37" xfId="0" applyNumberFormat="1" applyFill="1" applyBorder="1" applyAlignment="1" applyProtection="1">
      <alignment horizontal="left"/>
      <protection locked="0"/>
    </xf>
    <xf numFmtId="17" fontId="0" fillId="7" borderId="38" xfId="0" applyNumberFormat="1" applyFill="1" applyBorder="1" applyAlignment="1" applyProtection="1">
      <alignment horizontal="left"/>
      <protection locked="0"/>
    </xf>
    <xf numFmtId="17" fontId="0" fillId="7" borderId="28" xfId="0" applyNumberFormat="1" applyFill="1" applyBorder="1" applyAlignment="1" applyProtection="1">
      <alignment horizontal="left"/>
      <protection locked="0"/>
    </xf>
    <xf numFmtId="17" fontId="0" fillId="7" borderId="29" xfId="0" applyNumberFormat="1" applyFill="1" applyBorder="1" applyAlignment="1" applyProtection="1">
      <alignment horizontal="left"/>
      <protection locked="0"/>
    </xf>
    <xf numFmtId="0" fontId="22" fillId="14" borderId="33" xfId="0" applyFont="1" applyFill="1" applyBorder="1" applyAlignment="1">
      <alignment horizontal="center" vertical="center"/>
    </xf>
    <xf numFmtId="0" fontId="22" fillId="14" borderId="37" xfId="0" applyFont="1" applyFill="1" applyBorder="1" applyAlignment="1">
      <alignment horizontal="center" vertical="center"/>
    </xf>
    <xf numFmtId="0" fontId="22" fillId="14" borderId="38" xfId="0" applyFont="1" applyFill="1" applyBorder="1" applyAlignment="1">
      <alignment horizontal="center" vertical="center"/>
    </xf>
    <xf numFmtId="0" fontId="51" fillId="8" borderId="46" xfId="0" applyFont="1" applyFill="1" applyBorder="1" applyAlignment="1">
      <alignment horizontal="center" vertical="center"/>
    </xf>
    <xf numFmtId="0" fontId="51" fillId="8" borderId="47" xfId="0" applyFont="1" applyFill="1" applyBorder="1" applyAlignment="1">
      <alignment horizontal="center" vertical="center"/>
    </xf>
    <xf numFmtId="0" fontId="2" fillId="8" borderId="43" xfId="0" applyFont="1" applyFill="1" applyBorder="1" applyAlignment="1">
      <alignment horizontal="center" vertical="center"/>
    </xf>
    <xf numFmtId="0" fontId="2" fillId="8" borderId="45" xfId="0" applyFont="1" applyFill="1" applyBorder="1" applyAlignment="1">
      <alignment horizontal="center" vertical="center"/>
    </xf>
    <xf numFmtId="0" fontId="2" fillId="8" borderId="35" xfId="0" applyFont="1" applyFill="1" applyBorder="1" applyAlignment="1">
      <alignment horizontal="center" vertical="center"/>
    </xf>
    <xf numFmtId="0" fontId="2" fillId="8" borderId="36" xfId="0" applyFont="1" applyFill="1" applyBorder="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xf>
    <xf numFmtId="0" fontId="21" fillId="0" borderId="0" xfId="0" applyFont="1" applyAlignment="1">
      <alignment horizontal="center" vertical="center"/>
    </xf>
    <xf numFmtId="165" fontId="0" fillId="0" borderId="0" xfId="0" applyNumberFormat="1" applyAlignment="1">
      <alignment horizontal="center"/>
    </xf>
    <xf numFmtId="0" fontId="0" fillId="0" borderId="0" xfId="0" applyAlignment="1">
      <alignment horizontal="center"/>
    </xf>
    <xf numFmtId="0" fontId="3" fillId="7" borderId="0" xfId="0" applyFont="1" applyFill="1" applyAlignment="1">
      <alignment horizontal="left" indent="2"/>
    </xf>
    <xf numFmtId="0" fontId="16" fillId="7" borderId="5" xfId="0" applyFont="1" applyFill="1" applyBorder="1" applyAlignment="1">
      <alignment horizontal="center" vertical="center"/>
    </xf>
    <xf numFmtId="0" fontId="16" fillId="7" borderId="6" xfId="0" applyFont="1" applyFill="1" applyBorder="1" applyAlignment="1">
      <alignment horizontal="center" vertical="center"/>
    </xf>
    <xf numFmtId="0" fontId="16" fillId="7" borderId="7" xfId="0" applyFont="1" applyFill="1" applyBorder="1" applyAlignment="1">
      <alignment horizontal="center" vertical="center"/>
    </xf>
    <xf numFmtId="0" fontId="16" fillId="7" borderId="8" xfId="0" applyFont="1" applyFill="1" applyBorder="1" applyAlignment="1">
      <alignment horizontal="center" vertical="center"/>
    </xf>
    <xf numFmtId="0" fontId="16" fillId="7" borderId="0" xfId="0" applyFont="1" applyFill="1" applyAlignment="1">
      <alignment horizontal="center" vertical="center"/>
    </xf>
    <xf numFmtId="0" fontId="16" fillId="7" borderId="9" xfId="0" applyFont="1" applyFill="1" applyBorder="1" applyAlignment="1">
      <alignment horizontal="center" vertical="center"/>
    </xf>
    <xf numFmtId="0" fontId="16" fillId="7" borderId="10"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12" xfId="0" applyFont="1" applyFill="1" applyBorder="1" applyAlignment="1">
      <alignment horizontal="center" vertical="center"/>
    </xf>
    <xf numFmtId="0" fontId="2" fillId="8" borderId="22" xfId="0" applyFont="1" applyFill="1" applyBorder="1" applyAlignment="1">
      <alignment horizontal="left" vertical="center"/>
    </xf>
    <xf numFmtId="0" fontId="2" fillId="8" borderId="23" xfId="0" applyFont="1" applyFill="1" applyBorder="1" applyAlignment="1">
      <alignment horizontal="left" vertical="center"/>
    </xf>
    <xf numFmtId="0" fontId="2" fillId="8" borderId="25" xfId="0" applyFont="1" applyFill="1" applyBorder="1" applyAlignment="1">
      <alignment horizontal="left" vertical="center"/>
    </xf>
    <xf numFmtId="0" fontId="2" fillId="8" borderId="26" xfId="0" applyFont="1" applyFill="1" applyBorder="1" applyAlignment="1">
      <alignment horizontal="left" vertical="center"/>
    </xf>
    <xf numFmtId="0" fontId="2" fillId="8" borderId="30" xfId="0" applyFont="1" applyFill="1" applyBorder="1" applyAlignment="1">
      <alignment horizontal="center" vertical="center" wrapText="1"/>
    </xf>
    <xf numFmtId="0" fontId="2" fillId="8" borderId="31" xfId="0" applyFont="1" applyFill="1" applyBorder="1" applyAlignment="1">
      <alignment horizontal="center" vertical="center" wrapText="1"/>
    </xf>
    <xf numFmtId="0" fontId="6" fillId="0" borderId="0" xfId="0" applyFont="1" applyAlignment="1">
      <alignment horizontal="center" vertical="center"/>
    </xf>
    <xf numFmtId="0" fontId="19" fillId="8" borderId="16" xfId="0" applyFont="1" applyFill="1" applyBorder="1" applyAlignment="1">
      <alignment horizontal="center" vertical="center" wrapText="1"/>
    </xf>
    <xf numFmtId="0" fontId="19" fillId="8" borderId="0" xfId="0" applyFont="1" applyFill="1" applyAlignment="1">
      <alignment horizontal="center" vertical="center" wrapText="1"/>
    </xf>
    <xf numFmtId="0" fontId="19" fillId="8" borderId="17" xfId="0" applyFont="1" applyFill="1" applyBorder="1" applyAlignment="1">
      <alignment horizontal="center" vertical="center" wrapText="1"/>
    </xf>
    <xf numFmtId="0" fontId="2" fillId="8" borderId="23" xfId="0" applyFont="1" applyFill="1" applyBorder="1" applyAlignment="1">
      <alignment horizontal="center" vertical="center"/>
    </xf>
    <xf numFmtId="0" fontId="2" fillId="8" borderId="26" xfId="0" applyFont="1" applyFill="1" applyBorder="1" applyAlignment="1">
      <alignment horizontal="center" vertical="center"/>
    </xf>
    <xf numFmtId="0" fontId="2" fillId="8" borderId="24" xfId="0" applyFont="1" applyFill="1" applyBorder="1" applyAlignment="1">
      <alignment horizontal="left" vertical="center"/>
    </xf>
    <xf numFmtId="0" fontId="2" fillId="8" borderId="27" xfId="0" applyFont="1" applyFill="1" applyBorder="1" applyAlignment="1">
      <alignment horizontal="left" vertical="center"/>
    </xf>
    <xf numFmtId="0" fontId="2" fillId="8" borderId="22" xfId="0" applyFont="1" applyFill="1" applyBorder="1" applyAlignment="1">
      <alignment horizontal="center" vertical="center"/>
    </xf>
    <xf numFmtId="0" fontId="2" fillId="8" borderId="25" xfId="0" applyFont="1" applyFill="1" applyBorder="1" applyAlignment="1">
      <alignment horizontal="center" vertical="center"/>
    </xf>
    <xf numFmtId="0" fontId="20" fillId="0" borderId="0" xfId="0" applyFont="1" applyAlignment="1">
      <alignment horizontal="center" vertical="center" wrapText="1"/>
    </xf>
    <xf numFmtId="0" fontId="2" fillId="8" borderId="28" xfId="0" applyFont="1" applyFill="1" applyBorder="1" applyAlignment="1">
      <alignment horizontal="center" vertical="center"/>
    </xf>
    <xf numFmtId="0" fontId="2" fillId="8" borderId="2" xfId="0" applyFont="1" applyFill="1" applyBorder="1" applyAlignment="1">
      <alignment horizontal="center" vertical="center"/>
    </xf>
    <xf numFmtId="0" fontId="51" fillId="8" borderId="23" xfId="0" applyFont="1" applyFill="1" applyBorder="1" applyAlignment="1">
      <alignment horizontal="center" vertical="center"/>
    </xf>
    <xf numFmtId="0" fontId="51" fillId="8" borderId="0" xfId="0" applyFont="1" applyFill="1" applyAlignment="1">
      <alignment horizontal="center" vertical="center"/>
    </xf>
    <xf numFmtId="0" fontId="51" fillId="8" borderId="35" xfId="0" applyFont="1" applyFill="1" applyBorder="1" applyAlignment="1">
      <alignment horizontal="center" vertical="center"/>
    </xf>
    <xf numFmtId="0" fontId="51" fillId="8" borderId="36" xfId="0" applyFont="1" applyFill="1" applyBorder="1" applyAlignment="1">
      <alignment horizontal="center" vertical="center"/>
    </xf>
    <xf numFmtId="0" fontId="2" fillId="8" borderId="24" xfId="0" applyFont="1" applyFill="1" applyBorder="1" applyAlignment="1">
      <alignment horizontal="center" vertical="center"/>
    </xf>
    <xf numFmtId="0" fontId="2" fillId="8" borderId="27" xfId="0" applyFont="1" applyFill="1" applyBorder="1" applyAlignment="1">
      <alignment horizontal="center" vertical="center"/>
    </xf>
    <xf numFmtId="0" fontId="2" fillId="0" borderId="0" xfId="0" applyFont="1" applyAlignment="1">
      <alignment horizontal="center" vertical="center"/>
    </xf>
    <xf numFmtId="0" fontId="2" fillId="8" borderId="50" xfId="0" applyFont="1" applyFill="1" applyBorder="1" applyAlignment="1">
      <alignment horizontal="center" vertical="center"/>
    </xf>
    <xf numFmtId="0" fontId="2" fillId="8" borderId="51" xfId="0" applyFont="1" applyFill="1" applyBorder="1" applyAlignment="1">
      <alignment horizontal="center" vertical="center"/>
    </xf>
    <xf numFmtId="0" fontId="2" fillId="8" borderId="53" xfId="0" applyFont="1" applyFill="1" applyBorder="1" applyAlignment="1">
      <alignment horizontal="center" vertical="center"/>
    </xf>
    <xf numFmtId="0" fontId="2" fillId="8" borderId="54" xfId="0" applyFont="1" applyFill="1" applyBorder="1" applyAlignment="1">
      <alignment horizontal="center" vertical="center"/>
    </xf>
    <xf numFmtId="164" fontId="0" fillId="0" borderId="0" xfId="0" applyNumberFormat="1" applyAlignment="1">
      <alignment horizontal="left"/>
    </xf>
    <xf numFmtId="0" fontId="2" fillId="8" borderId="48" xfId="0" applyFont="1" applyFill="1" applyBorder="1" applyAlignment="1">
      <alignment horizontal="center" vertical="center"/>
    </xf>
    <xf numFmtId="0" fontId="2" fillId="8" borderId="40" xfId="0" applyFont="1" applyFill="1" applyBorder="1" applyAlignment="1">
      <alignment horizontal="center" vertical="center"/>
    </xf>
    <xf numFmtId="0" fontId="78" fillId="3" borderId="75" xfId="0" applyFont="1" applyFill="1" applyBorder="1" applyAlignment="1">
      <alignment vertical="top" wrapText="1"/>
    </xf>
    <xf numFmtId="0" fontId="78" fillId="3" borderId="76" xfId="0" applyFont="1" applyFill="1" applyBorder="1" applyAlignment="1">
      <alignment vertical="top" wrapText="1"/>
    </xf>
    <xf numFmtId="0" fontId="78" fillId="3" borderId="77" xfId="0" applyFont="1" applyFill="1" applyBorder="1" applyAlignment="1">
      <alignment vertical="top" wrapText="1"/>
    </xf>
    <xf numFmtId="0" fontId="79" fillId="3" borderId="78" xfId="0" applyFont="1" applyFill="1" applyBorder="1" applyAlignment="1">
      <alignment vertical="top" wrapText="1"/>
    </xf>
    <xf numFmtId="0" fontId="79" fillId="3" borderId="79" xfId="0" applyFont="1" applyFill="1" applyBorder="1" applyAlignment="1">
      <alignment vertical="top" wrapText="1"/>
    </xf>
    <xf numFmtId="0" fontId="79" fillId="3" borderId="80" xfId="0" applyFont="1" applyFill="1" applyBorder="1" applyAlignment="1">
      <alignment vertical="top" wrapText="1"/>
    </xf>
    <xf numFmtId="0" fontId="78" fillId="3" borderId="81" xfId="0" applyFont="1" applyFill="1" applyBorder="1" applyAlignment="1">
      <alignment horizontal="left" vertical="top" wrapText="1"/>
    </xf>
    <xf numFmtId="0" fontId="78" fillId="3" borderId="82" xfId="0" applyFont="1" applyFill="1" applyBorder="1" applyAlignment="1">
      <alignment horizontal="left" vertical="top" wrapText="1"/>
    </xf>
    <xf numFmtId="0" fontId="78" fillId="3" borderId="83" xfId="0" applyFont="1" applyFill="1" applyBorder="1" applyAlignment="1">
      <alignment horizontal="left" vertical="top" wrapText="1"/>
    </xf>
    <xf numFmtId="0" fontId="78" fillId="3" borderId="84" xfId="0" applyFont="1" applyFill="1" applyBorder="1" applyAlignment="1">
      <alignment horizontal="left" vertical="top" wrapText="1"/>
    </xf>
    <xf numFmtId="0" fontId="78" fillId="3" borderId="85" xfId="0" applyFont="1" applyFill="1" applyBorder="1" applyAlignment="1">
      <alignment horizontal="left" vertical="top" wrapText="1"/>
    </xf>
    <xf numFmtId="0" fontId="78" fillId="3" borderId="86" xfId="0" applyFont="1" applyFill="1" applyBorder="1" applyAlignment="1">
      <alignment horizontal="left" vertical="top" wrapText="1"/>
    </xf>
    <xf numFmtId="0" fontId="81" fillId="0" borderId="22" xfId="0" applyFont="1" applyBorder="1" applyAlignment="1">
      <alignment horizontal="center" vertical="center"/>
    </xf>
    <xf numFmtId="0" fontId="81" fillId="0" borderId="23" xfId="0" applyFont="1" applyBorder="1" applyAlignment="1">
      <alignment horizontal="center" vertical="center"/>
    </xf>
    <xf numFmtId="0" fontId="81" fillId="0" borderId="24" xfId="0" applyFont="1" applyBorder="1" applyAlignment="1">
      <alignment horizontal="center" vertical="center"/>
    </xf>
    <xf numFmtId="0" fontId="81" fillId="0" borderId="28" xfId="0" applyFont="1" applyBorder="1" applyAlignment="1">
      <alignment horizontal="center" vertical="center"/>
    </xf>
    <xf numFmtId="0" fontId="81" fillId="0" borderId="0" xfId="0" applyFont="1" applyAlignment="1">
      <alignment horizontal="center" vertical="center"/>
    </xf>
    <xf numFmtId="0" fontId="81" fillId="0" borderId="29" xfId="0" applyFont="1" applyBorder="1" applyAlignment="1">
      <alignment horizontal="center" vertical="center"/>
    </xf>
    <xf numFmtId="175" fontId="81" fillId="9" borderId="22" xfId="0" applyNumberFormat="1" applyFont="1" applyFill="1" applyBorder="1" applyAlignment="1">
      <alignment horizontal="center" vertical="center"/>
    </xf>
    <xf numFmtId="175" fontId="81" fillId="9" borderId="24" xfId="0" applyNumberFormat="1" applyFont="1" applyFill="1" applyBorder="1" applyAlignment="1">
      <alignment horizontal="center" vertical="center"/>
    </xf>
    <xf numFmtId="175" fontId="81" fillId="9" borderId="25" xfId="0" applyNumberFormat="1" applyFont="1" applyFill="1" applyBorder="1" applyAlignment="1">
      <alignment horizontal="center" vertical="center"/>
    </xf>
    <xf numFmtId="175" fontId="81" fillId="9" borderId="27" xfId="0" applyNumberFormat="1" applyFont="1" applyFill="1" applyBorder="1" applyAlignment="1">
      <alignment horizontal="center" vertical="center"/>
    </xf>
    <xf numFmtId="175" fontId="85" fillId="0" borderId="22" xfId="0" applyNumberFormat="1" applyFont="1" applyBorder="1" applyAlignment="1">
      <alignment horizontal="left" vertical="center"/>
    </xf>
    <xf numFmtId="175" fontId="85" fillId="0" borderId="24" xfId="0" applyNumberFormat="1" applyFont="1" applyBorder="1" applyAlignment="1">
      <alignment horizontal="left" vertical="center"/>
    </xf>
    <xf numFmtId="175" fontId="85" fillId="0" borderId="25" xfId="0" applyNumberFormat="1" applyFont="1" applyBorder="1" applyAlignment="1">
      <alignment horizontal="left" vertical="center"/>
    </xf>
    <xf numFmtId="175" fontId="85" fillId="0" borderId="27" xfId="0" applyNumberFormat="1" applyFont="1" applyBorder="1" applyAlignment="1">
      <alignment horizontal="left" vertical="center"/>
    </xf>
    <xf numFmtId="0" fontId="3" fillId="8" borderId="21" xfId="0" applyFont="1" applyFill="1" applyBorder="1" applyAlignment="1">
      <alignment horizontal="center" vertical="center"/>
    </xf>
    <xf numFmtId="0" fontId="3" fillId="8" borderId="21" xfId="0" applyFont="1" applyFill="1" applyBorder="1" applyAlignment="1">
      <alignment horizontal="center" vertical="center" wrapText="1"/>
    </xf>
    <xf numFmtId="0" fontId="2" fillId="0" borderId="21" xfId="0" applyFont="1" applyBorder="1" applyAlignment="1">
      <alignment horizontal="center" vertical="center"/>
    </xf>
    <xf numFmtId="174" fontId="60" fillId="14" borderId="21" xfId="1" applyNumberFormat="1" applyFont="1" applyFill="1" applyBorder="1" applyAlignment="1">
      <alignment horizontal="center" vertical="center"/>
    </xf>
    <xf numFmtId="0" fontId="60" fillId="14" borderId="21" xfId="0" applyFont="1" applyFill="1" applyBorder="1" applyAlignment="1">
      <alignment horizontal="center" vertical="center"/>
    </xf>
    <xf numFmtId="0" fontId="60" fillId="9" borderId="21"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xf>
    <xf numFmtId="0" fontId="82" fillId="13" borderId="21" xfId="0" applyFont="1" applyFill="1" applyBorder="1" applyAlignment="1">
      <alignment horizontal="center" vertical="center" wrapText="1"/>
    </xf>
    <xf numFmtId="0" fontId="82" fillId="13" borderId="21" xfId="0" applyFont="1" applyFill="1" applyBorder="1" applyAlignment="1">
      <alignment horizontal="center" vertical="center"/>
    </xf>
    <xf numFmtId="0" fontId="3" fillId="8" borderId="30" xfId="0" applyFont="1" applyFill="1" applyBorder="1" applyAlignment="1">
      <alignment horizontal="center" vertical="center" wrapText="1"/>
    </xf>
    <xf numFmtId="0" fontId="3" fillId="8" borderId="31" xfId="0" applyFont="1" applyFill="1" applyBorder="1" applyAlignment="1">
      <alignment horizontal="center" vertical="center" wrapText="1"/>
    </xf>
    <xf numFmtId="9" fontId="60" fillId="0" borderId="30" xfId="0" applyNumberFormat="1" applyFont="1" applyBorder="1" applyAlignment="1">
      <alignment horizontal="center" vertical="center"/>
    </xf>
    <xf numFmtId="9" fontId="60" fillId="0" borderId="31" xfId="0" applyNumberFormat="1" applyFont="1" applyBorder="1" applyAlignment="1">
      <alignment horizontal="center" vertical="center"/>
    </xf>
    <xf numFmtId="9" fontId="60" fillId="0" borderId="21" xfId="0" applyNumberFormat="1" applyFont="1" applyBorder="1" applyAlignment="1">
      <alignment horizontal="center" vertical="center"/>
    </xf>
    <xf numFmtId="0" fontId="84" fillId="11" borderId="33" xfId="0" applyFont="1" applyFill="1" applyBorder="1" applyAlignment="1">
      <alignment horizontal="center" vertical="center"/>
    </xf>
    <xf numFmtId="0" fontId="84" fillId="11" borderId="24" xfId="0" applyFont="1" applyFill="1" applyBorder="1" applyAlignment="1">
      <alignment horizontal="center" vertical="center"/>
    </xf>
    <xf numFmtId="173" fontId="0" fillId="14" borderId="21" xfId="4" applyNumberFormat="1" applyFont="1" applyFill="1" applyBorder="1" applyAlignment="1">
      <alignment horizontal="center" vertical="center"/>
    </xf>
    <xf numFmtId="173" fontId="0" fillId="9" borderId="21" xfId="4" applyNumberFormat="1" applyFont="1" applyFill="1" applyBorder="1" applyAlignment="1">
      <alignment horizontal="center" vertical="center"/>
    </xf>
    <xf numFmtId="0" fontId="78" fillId="3" borderId="22" xfId="0" applyFont="1" applyFill="1" applyBorder="1" applyAlignment="1">
      <alignment horizontal="left" vertical="top" wrapText="1"/>
    </xf>
    <xf numFmtId="0" fontId="78" fillId="3" borderId="23" xfId="0" applyFont="1" applyFill="1" applyBorder="1" applyAlignment="1">
      <alignment horizontal="left" vertical="top" wrapText="1"/>
    </xf>
    <xf numFmtId="0" fontId="78" fillId="3" borderId="24" xfId="0" applyFont="1" applyFill="1" applyBorder="1" applyAlignment="1">
      <alignment horizontal="left" vertical="top" wrapText="1"/>
    </xf>
    <xf numFmtId="0" fontId="78" fillId="3" borderId="25" xfId="0" applyFont="1" applyFill="1" applyBorder="1" applyAlignment="1">
      <alignment horizontal="left" vertical="top" wrapText="1"/>
    </xf>
    <xf numFmtId="0" fontId="78" fillId="3" borderId="26" xfId="0" applyFont="1" applyFill="1" applyBorder="1" applyAlignment="1">
      <alignment horizontal="left" vertical="top" wrapText="1"/>
    </xf>
    <xf numFmtId="0" fontId="78" fillId="3" borderId="27" xfId="0" applyFont="1" applyFill="1" applyBorder="1" applyAlignment="1">
      <alignment horizontal="left" vertical="top" wrapText="1"/>
    </xf>
    <xf numFmtId="0" fontId="78" fillId="3" borderId="28" xfId="0" applyFont="1" applyFill="1" applyBorder="1" applyAlignment="1">
      <alignment horizontal="left" vertical="top" wrapText="1"/>
    </xf>
    <xf numFmtId="0" fontId="78" fillId="3" borderId="0" xfId="0" applyFont="1" applyFill="1" applyAlignment="1">
      <alignment horizontal="left" vertical="top" wrapText="1"/>
    </xf>
    <xf numFmtId="0" fontId="78" fillId="3" borderId="29" xfId="0" applyFont="1" applyFill="1" applyBorder="1" applyAlignment="1">
      <alignment horizontal="left" vertical="top" wrapText="1"/>
    </xf>
    <xf numFmtId="173" fontId="91" fillId="9" borderId="21" xfId="4" applyNumberFormat="1" applyFont="1" applyFill="1" applyBorder="1" applyAlignment="1">
      <alignment horizontal="center"/>
    </xf>
    <xf numFmtId="0" fontId="91" fillId="9" borderId="21" xfId="4" applyNumberFormat="1" applyFont="1" applyFill="1" applyBorder="1" applyAlignment="1">
      <alignment horizontal="center"/>
    </xf>
    <xf numFmtId="0" fontId="89" fillId="0" borderId="22" xfId="0" applyFont="1" applyBorder="1" applyAlignment="1">
      <alignment horizontal="left" vertical="top" wrapText="1"/>
    </xf>
    <xf numFmtId="0" fontId="89" fillId="0" borderId="23" xfId="0" applyFont="1" applyBorder="1" applyAlignment="1">
      <alignment horizontal="left" vertical="top"/>
    </xf>
    <xf numFmtId="0" fontId="89" fillId="0" borderId="24" xfId="0" applyFont="1" applyBorder="1" applyAlignment="1">
      <alignment horizontal="left" vertical="top"/>
    </xf>
    <xf numFmtId="0" fontId="89" fillId="0" borderId="25" xfId="0" applyFont="1" applyBorder="1" applyAlignment="1">
      <alignment horizontal="left" vertical="top"/>
    </xf>
    <xf numFmtId="0" fontId="89" fillId="0" borderId="26" xfId="0" applyFont="1" applyBorder="1" applyAlignment="1">
      <alignment horizontal="left" vertical="top"/>
    </xf>
    <xf numFmtId="0" fontId="89" fillId="0" borderId="27" xfId="0" applyFont="1" applyBorder="1" applyAlignment="1">
      <alignment horizontal="left" vertical="top"/>
    </xf>
    <xf numFmtId="0" fontId="90" fillId="0" borderId="22" xfId="0" applyFont="1" applyBorder="1" applyAlignment="1">
      <alignment horizontal="left" vertical="top" wrapText="1"/>
    </xf>
    <xf numFmtId="0" fontId="90" fillId="0" borderId="23" xfId="0" applyFont="1" applyBorder="1" applyAlignment="1">
      <alignment horizontal="left" vertical="top"/>
    </xf>
    <xf numFmtId="0" fontId="90" fillId="0" borderId="24" xfId="0" applyFont="1" applyBorder="1" applyAlignment="1">
      <alignment horizontal="left" vertical="top"/>
    </xf>
    <xf numFmtId="0" fontId="90" fillId="0" borderId="25" xfId="0" applyFont="1" applyBorder="1" applyAlignment="1">
      <alignment horizontal="left" vertical="top"/>
    </xf>
    <xf numFmtId="0" fontId="90" fillId="0" borderId="26" xfId="0" applyFont="1" applyBorder="1" applyAlignment="1">
      <alignment horizontal="left" vertical="top"/>
    </xf>
    <xf numFmtId="0" fontId="90" fillId="0" borderId="27" xfId="0" applyFont="1" applyBorder="1" applyAlignment="1">
      <alignment horizontal="left" vertical="top"/>
    </xf>
    <xf numFmtId="0" fontId="88" fillId="0" borderId="22" xfId="0" applyFont="1" applyBorder="1" applyAlignment="1">
      <alignment horizontal="center" vertical="center"/>
    </xf>
    <xf numFmtId="0" fontId="88" fillId="0" borderId="23" xfId="0" applyFont="1" applyBorder="1" applyAlignment="1">
      <alignment horizontal="center" vertical="center"/>
    </xf>
    <xf numFmtId="0" fontId="88" fillId="0" borderId="24" xfId="0" applyFont="1" applyBorder="1" applyAlignment="1">
      <alignment horizontal="center" vertical="center"/>
    </xf>
    <xf numFmtId="173" fontId="91" fillId="14" borderId="21" xfId="0" applyNumberFormat="1" applyFont="1" applyFill="1" applyBorder="1" applyAlignment="1">
      <alignment horizontal="center"/>
    </xf>
    <xf numFmtId="0" fontId="91" fillId="0" borderId="21" xfId="0" applyFont="1" applyBorder="1" applyAlignment="1">
      <alignment horizont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9" fontId="46" fillId="14" borderId="21" xfId="0" applyNumberFormat="1" applyFont="1" applyFill="1" applyBorder="1" applyAlignment="1">
      <alignment horizontal="center"/>
    </xf>
    <xf numFmtId="0" fontId="3" fillId="0" borderId="21" xfId="0" applyFont="1" applyBorder="1" applyAlignment="1">
      <alignment horizontal="center"/>
    </xf>
    <xf numFmtId="0" fontId="90" fillId="0" borderId="23" xfId="0" applyFont="1" applyBorder="1" applyAlignment="1">
      <alignment horizontal="left" vertical="top" wrapText="1"/>
    </xf>
    <xf numFmtId="0" fontId="90" fillId="0" borderId="24" xfId="0" applyFont="1" applyBorder="1" applyAlignment="1">
      <alignment horizontal="left" vertical="top" wrapText="1"/>
    </xf>
    <xf numFmtId="0" fontId="90" fillId="0" borderId="28" xfId="0" applyFont="1" applyBorder="1" applyAlignment="1">
      <alignment horizontal="left" vertical="top" wrapText="1"/>
    </xf>
    <xf numFmtId="0" fontId="90" fillId="0" borderId="0" xfId="0" applyFont="1" applyAlignment="1">
      <alignment horizontal="left" vertical="top" wrapText="1"/>
    </xf>
    <xf numFmtId="0" fontId="90" fillId="0" borderId="29" xfId="0" applyFont="1" applyBorder="1" applyAlignment="1">
      <alignment horizontal="left" vertical="top" wrapText="1"/>
    </xf>
    <xf numFmtId="0" fontId="90" fillId="0" borderId="25" xfId="0" applyFont="1" applyBorder="1" applyAlignment="1">
      <alignment horizontal="left" vertical="top" wrapText="1"/>
    </xf>
    <xf numFmtId="0" fontId="90" fillId="0" borderId="26" xfId="0" applyFont="1" applyBorder="1" applyAlignment="1">
      <alignment horizontal="left" vertical="top" wrapText="1"/>
    </xf>
    <xf numFmtId="0" fontId="90" fillId="0" borderId="27" xfId="0" applyFont="1" applyBorder="1" applyAlignment="1">
      <alignment horizontal="left" vertical="top" wrapText="1"/>
    </xf>
    <xf numFmtId="0" fontId="4" fillId="0" borderId="0" xfId="0" applyFont="1" applyAlignment="1">
      <alignment horizontal="center" vertical="center"/>
    </xf>
    <xf numFmtId="0" fontId="89" fillId="0" borderId="23" xfId="0" applyFont="1" applyBorder="1" applyAlignment="1">
      <alignment horizontal="left" vertical="top" wrapText="1"/>
    </xf>
    <xf numFmtId="0" fontId="89" fillId="0" borderId="0" xfId="0" applyFont="1" applyAlignment="1">
      <alignment horizontal="left" vertical="top" wrapText="1"/>
    </xf>
    <xf numFmtId="0" fontId="5" fillId="0" borderId="23" xfId="0" applyFont="1" applyBorder="1" applyAlignment="1">
      <alignment horizontal="center" vertical="center"/>
    </xf>
    <xf numFmtId="0" fontId="5" fillId="0" borderId="0" xfId="0" applyFont="1" applyAlignment="1">
      <alignment horizontal="center" vertical="center"/>
    </xf>
    <xf numFmtId="0" fontId="63" fillId="5" borderId="60" xfId="0" applyFont="1" applyFill="1" applyBorder="1" applyAlignment="1">
      <alignment horizontal="left"/>
    </xf>
    <xf numFmtId="0" fontId="63" fillId="5" borderId="61" xfId="0" applyFont="1" applyFill="1" applyBorder="1" applyAlignment="1">
      <alignment horizontal="left"/>
    </xf>
    <xf numFmtId="0" fontId="63" fillId="5" borderId="62" xfId="0" applyFont="1" applyFill="1" applyBorder="1" applyAlignment="1">
      <alignment horizontal="left"/>
    </xf>
    <xf numFmtId="0" fontId="79" fillId="3" borderId="28" xfId="0" applyFont="1" applyFill="1" applyBorder="1" applyAlignment="1">
      <alignment horizontal="left" vertical="top" wrapText="1"/>
    </xf>
    <xf numFmtId="0" fontId="79" fillId="3" borderId="0" xfId="0" applyFont="1" applyFill="1" applyAlignment="1">
      <alignment horizontal="left" vertical="top" wrapText="1"/>
    </xf>
    <xf numFmtId="0" fontId="79" fillId="3" borderId="29" xfId="0" applyFont="1" applyFill="1" applyBorder="1" applyAlignment="1">
      <alignment horizontal="left" vertical="top" wrapText="1"/>
    </xf>
    <xf numFmtId="0" fontId="3" fillId="15" borderId="0" xfId="0" applyFont="1" applyFill="1" applyAlignment="1">
      <alignment horizontal="center" vertical="center" wrapText="1"/>
    </xf>
    <xf numFmtId="0" fontId="3" fillId="15" borderId="0" xfId="0" applyFont="1" applyFill="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22" xfId="0" applyFont="1" applyBorder="1" applyAlignment="1">
      <alignment horizontal="left" vertical="top"/>
    </xf>
    <xf numFmtId="0" fontId="4" fillId="0" borderId="23" xfId="0" applyFont="1" applyBorder="1" applyAlignment="1">
      <alignment horizontal="left" vertical="top"/>
    </xf>
    <xf numFmtId="0" fontId="4" fillId="0" borderId="24" xfId="0" applyFont="1" applyBorder="1" applyAlignment="1">
      <alignment horizontal="left" vertical="top"/>
    </xf>
    <xf numFmtId="0" fontId="4" fillId="0" borderId="25" xfId="0" applyFont="1" applyBorder="1" applyAlignment="1">
      <alignment horizontal="left" vertical="top"/>
    </xf>
    <xf numFmtId="0" fontId="4" fillId="0" borderId="26" xfId="0" applyFont="1" applyBorder="1" applyAlignment="1">
      <alignment horizontal="left" vertical="top"/>
    </xf>
    <xf numFmtId="0" fontId="4" fillId="0" borderId="27" xfId="0" applyFont="1" applyBorder="1" applyAlignment="1">
      <alignment horizontal="left" vertical="top"/>
    </xf>
    <xf numFmtId="4" fontId="70" fillId="8" borderId="69" xfId="8" applyNumberFormat="1" applyFont="1" applyFill="1" applyBorder="1" applyAlignment="1">
      <alignment horizontal="center" vertical="center"/>
    </xf>
    <xf numFmtId="4" fontId="70" fillId="8" borderId="70" xfId="8" applyNumberFormat="1" applyFont="1" applyFill="1" applyBorder="1" applyAlignment="1">
      <alignment horizontal="center" vertical="center"/>
    </xf>
    <xf numFmtId="10" fontId="70" fillId="8" borderId="68" xfId="1" applyNumberFormat="1" applyFont="1" applyFill="1" applyBorder="1" applyAlignment="1">
      <alignment horizontal="center" vertical="center"/>
    </xf>
    <xf numFmtId="10" fontId="70" fillId="8" borderId="21" xfId="1" applyNumberFormat="1" applyFont="1" applyFill="1" applyBorder="1" applyAlignment="1">
      <alignment horizontal="center" vertical="center"/>
    </xf>
    <xf numFmtId="0" fontId="66" fillId="8" borderId="21" xfId="7" applyFont="1" applyFill="1" applyBorder="1" applyAlignment="1">
      <alignment horizontal="center" vertical="center" wrapText="1"/>
    </xf>
    <xf numFmtId="0" fontId="66" fillId="8" borderId="30" xfId="7" applyFont="1" applyFill="1" applyBorder="1" applyAlignment="1">
      <alignment horizontal="center" vertical="center" wrapText="1"/>
    </xf>
    <xf numFmtId="0" fontId="66" fillId="8" borderId="31" xfId="7" applyFont="1" applyFill="1" applyBorder="1" applyAlignment="1">
      <alignment horizontal="center" vertical="center" wrapText="1"/>
    </xf>
    <xf numFmtId="0" fontId="96" fillId="0" borderId="33" xfId="6" applyFont="1" applyBorder="1" applyAlignment="1">
      <alignment horizontal="center"/>
    </xf>
    <xf numFmtId="0" fontId="96" fillId="0" borderId="37" xfId="6" applyFont="1" applyBorder="1" applyAlignment="1">
      <alignment horizontal="center"/>
    </xf>
    <xf numFmtId="0" fontId="96" fillId="0" borderId="38" xfId="6" applyFont="1" applyBorder="1" applyAlignment="1">
      <alignment horizontal="center"/>
    </xf>
    <xf numFmtId="0" fontId="60" fillId="19" borderId="28" xfId="0" applyFont="1" applyFill="1" applyBorder="1" applyAlignment="1">
      <alignment horizontal="center" vertical="center"/>
    </xf>
    <xf numFmtId="0" fontId="60" fillId="19" borderId="0" xfId="0" applyFont="1" applyFill="1" applyAlignment="1">
      <alignment horizontal="center" vertical="center"/>
    </xf>
    <xf numFmtId="0" fontId="60" fillId="19" borderId="29" xfId="0" applyFont="1" applyFill="1" applyBorder="1" applyAlignment="1">
      <alignment horizontal="center" vertical="center"/>
    </xf>
    <xf numFmtId="0" fontId="5" fillId="10" borderId="33" xfId="0" applyFont="1" applyFill="1" applyBorder="1" applyAlignment="1">
      <alignment horizontal="center"/>
    </xf>
    <xf numFmtId="0" fontId="5" fillId="10" borderId="37" xfId="0" applyFont="1" applyFill="1" applyBorder="1" applyAlignment="1">
      <alignment horizontal="center"/>
    </xf>
    <xf numFmtId="0" fontId="5" fillId="10" borderId="38" xfId="0" applyFont="1" applyFill="1" applyBorder="1" applyAlignment="1">
      <alignment horizontal="center"/>
    </xf>
    <xf numFmtId="0" fontId="0" fillId="7" borderId="28" xfId="0" applyFill="1" applyBorder="1" applyAlignment="1" applyProtection="1">
      <alignment horizontal="left" wrapText="1"/>
      <protection locked="0"/>
    </xf>
  </cellXfs>
  <cellStyles count="12">
    <cellStyle name="Lien hypertexte" xfId="3" builtinId="8"/>
    <cellStyle name="Lien hypertexte 2" xfId="11" xr:uid="{00000000-0005-0000-0000-000001000000}"/>
    <cellStyle name="Milliers" xfId="1" builtinId="3"/>
    <cellStyle name="Milliers 2" xfId="8" xr:uid="{00000000-0005-0000-0000-000003000000}"/>
    <cellStyle name="Milliers 3" xfId="10" xr:uid="{00000000-0005-0000-0000-000004000000}"/>
    <cellStyle name="Monétaire" xfId="4" builtinId="4"/>
    <cellStyle name="Normal" xfId="0" builtinId="0"/>
    <cellStyle name="Normal 2" xfId="7" xr:uid="{00000000-0005-0000-0000-000007000000}"/>
    <cellStyle name="Normal 3" xfId="9" xr:uid="{00000000-0005-0000-0000-000008000000}"/>
    <cellStyle name="Normal 5" xfId="6" xr:uid="{00000000-0005-0000-0000-000009000000}"/>
    <cellStyle name="Pourcentage" xfId="2" builtinId="5"/>
    <cellStyle name="Währung" xfId="5" xr:uid="{00000000-0005-0000-0000-00000B000000}"/>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C4D600"/>
      <color rgb="FF43AEFF"/>
      <color rgb="FFDCC5ED"/>
      <color rgb="FFEB683E"/>
      <color rgb="FF71FFB1"/>
      <color rgb="FFC75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contact@egjstartp.fr" TargetMode="Externa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77BB-E082-496B-92D0-45E6CEE76F30}">
  <sheetPr>
    <tabColor rgb="FF00B0F0"/>
  </sheetPr>
  <dimension ref="C2:J37"/>
  <sheetViews>
    <sheetView showGridLines="0" zoomScale="96" workbookViewId="0">
      <selection activeCell="L29" sqref="L29"/>
    </sheetView>
  </sheetViews>
  <sheetFormatPr baseColWidth="10" defaultColWidth="11.5546875" defaultRowHeight="14.4"/>
  <cols>
    <col min="3" max="3" width="5.88671875" customWidth="1"/>
    <col min="5" max="5" width="7.6640625" customWidth="1"/>
    <col min="10" max="10" width="14.44140625" customWidth="1"/>
  </cols>
  <sheetData>
    <row r="2" spans="3:10">
      <c r="C2" s="554" t="s">
        <v>416</v>
      </c>
      <c r="D2" s="555"/>
      <c r="E2" s="555"/>
      <c r="F2" s="555"/>
      <c r="G2" s="555"/>
      <c r="H2" s="555"/>
      <c r="I2" s="555"/>
      <c r="J2" s="556"/>
    </row>
    <row r="3" spans="3:10">
      <c r="C3" s="557"/>
      <c r="D3" s="558"/>
      <c r="E3" s="558"/>
      <c r="F3" s="558"/>
      <c r="G3" s="558"/>
      <c r="H3" s="558"/>
      <c r="I3" s="558"/>
      <c r="J3" s="559"/>
    </row>
    <row r="4" spans="3:10">
      <c r="C4" s="33"/>
      <c r="J4" s="330"/>
    </row>
    <row r="5" spans="3:10">
      <c r="C5" s="548" t="s">
        <v>410</v>
      </c>
      <c r="D5" s="549"/>
      <c r="E5" s="549"/>
      <c r="F5" s="549"/>
      <c r="G5" s="549"/>
      <c r="H5" s="549"/>
      <c r="I5" s="549"/>
      <c r="J5" s="550"/>
    </row>
    <row r="6" spans="3:10" ht="20.25" customHeight="1">
      <c r="C6" s="551"/>
      <c r="D6" s="552"/>
      <c r="E6" s="552"/>
      <c r="F6" s="552"/>
      <c r="G6" s="552"/>
      <c r="H6" s="552"/>
      <c r="I6" s="552"/>
      <c r="J6" s="553"/>
    </row>
    <row r="7" spans="3:10" ht="20.25" customHeight="1">
      <c r="C7" s="454"/>
      <c r="D7" s="453"/>
      <c r="E7" s="453"/>
      <c r="F7" s="453"/>
      <c r="G7" s="453"/>
      <c r="H7" s="453"/>
      <c r="I7" s="453"/>
      <c r="J7" s="455"/>
    </row>
    <row r="8" spans="3:10" ht="20.25" customHeight="1">
      <c r="C8" s="511" t="s">
        <v>385</v>
      </c>
      <c r="D8" s="512"/>
      <c r="E8" s="512"/>
      <c r="F8" s="512"/>
      <c r="G8" s="512"/>
      <c r="H8" s="512"/>
      <c r="I8" s="456" t="s">
        <v>256</v>
      </c>
      <c r="J8" s="457" t="s">
        <v>312</v>
      </c>
    </row>
    <row r="9" spans="3:10">
      <c r="C9" s="33"/>
      <c r="J9" s="330"/>
    </row>
    <row r="10" spans="3:10" ht="23.4">
      <c r="C10" s="560" t="s">
        <v>387</v>
      </c>
      <c r="D10" s="561"/>
      <c r="E10" s="561"/>
      <c r="F10" s="561"/>
      <c r="G10" s="561"/>
      <c r="H10" s="561"/>
      <c r="I10" s="561"/>
      <c r="J10" s="561"/>
    </row>
    <row r="11" spans="3:10">
      <c r="C11" s="562" t="s">
        <v>317</v>
      </c>
      <c r="D11" s="563" t="s">
        <v>388</v>
      </c>
      <c r="E11" s="563"/>
      <c r="F11" s="562" t="s">
        <v>389</v>
      </c>
      <c r="G11" s="562"/>
      <c r="H11" s="562"/>
      <c r="I11" s="562"/>
      <c r="J11" s="562"/>
    </row>
    <row r="12" spans="3:10">
      <c r="C12" s="562"/>
      <c r="D12" s="563"/>
      <c r="E12" s="563"/>
      <c r="F12" s="562"/>
      <c r="G12" s="562"/>
      <c r="H12" s="562"/>
      <c r="I12" s="562"/>
      <c r="J12" s="562"/>
    </row>
    <row r="13" spans="3:10">
      <c r="C13" s="545">
        <v>1</v>
      </c>
      <c r="D13" s="546" t="s">
        <v>390</v>
      </c>
      <c r="E13" s="546"/>
      <c r="F13" s="547" t="s">
        <v>391</v>
      </c>
      <c r="G13" s="547"/>
      <c r="H13" s="547"/>
      <c r="I13" s="547"/>
      <c r="J13" s="547"/>
    </row>
    <row r="14" spans="3:10">
      <c r="C14" s="545"/>
      <c r="D14" s="546"/>
      <c r="E14" s="546"/>
      <c r="F14" s="547"/>
      <c r="G14" s="547"/>
      <c r="H14" s="547"/>
      <c r="I14" s="547"/>
      <c r="J14" s="547"/>
    </row>
    <row r="15" spans="3:10" ht="10.5" customHeight="1">
      <c r="C15" s="545"/>
      <c r="D15" s="546"/>
      <c r="E15" s="546"/>
      <c r="F15" s="547"/>
      <c r="G15" s="547"/>
      <c r="H15" s="547"/>
      <c r="I15" s="547"/>
      <c r="J15" s="547"/>
    </row>
    <row r="16" spans="3:10" hidden="1">
      <c r="C16" s="545"/>
      <c r="D16" s="546"/>
      <c r="E16" s="546"/>
      <c r="F16" s="547"/>
      <c r="G16" s="547"/>
      <c r="H16" s="547"/>
      <c r="I16" s="547"/>
      <c r="J16" s="547"/>
    </row>
    <row r="17" spans="3:10" hidden="1">
      <c r="C17" s="545"/>
      <c r="D17" s="546"/>
      <c r="E17" s="546"/>
      <c r="F17" s="547"/>
      <c r="G17" s="547"/>
      <c r="H17" s="547"/>
      <c r="I17" s="547"/>
      <c r="J17" s="547"/>
    </row>
    <row r="18" spans="3:10">
      <c r="C18" s="536">
        <v>2</v>
      </c>
      <c r="D18" s="537" t="s">
        <v>392</v>
      </c>
      <c r="E18" s="537"/>
      <c r="F18" s="538" t="s">
        <v>406</v>
      </c>
      <c r="G18" s="539"/>
      <c r="H18" s="539"/>
      <c r="I18" s="539"/>
      <c r="J18" s="539"/>
    </row>
    <row r="19" spans="3:10">
      <c r="C19" s="536"/>
      <c r="D19" s="537"/>
      <c r="E19" s="537"/>
      <c r="F19" s="538"/>
      <c r="G19" s="539"/>
      <c r="H19" s="539"/>
      <c r="I19" s="539"/>
      <c r="J19" s="539"/>
    </row>
    <row r="20" spans="3:10" ht="65.25" customHeight="1">
      <c r="C20" s="536"/>
      <c r="D20" s="537"/>
      <c r="E20" s="537"/>
      <c r="F20" s="539"/>
      <c r="G20" s="539"/>
      <c r="H20" s="539"/>
      <c r="I20" s="539"/>
      <c r="J20" s="539"/>
    </row>
    <row r="21" spans="3:10">
      <c r="C21" s="540">
        <v>3</v>
      </c>
      <c r="D21" s="541" t="s">
        <v>393</v>
      </c>
      <c r="E21" s="542"/>
      <c r="F21" s="543" t="s">
        <v>400</v>
      </c>
      <c r="G21" s="544"/>
      <c r="H21" s="544"/>
      <c r="I21" s="544"/>
      <c r="J21" s="544"/>
    </row>
    <row r="22" spans="3:10">
      <c r="C22" s="540"/>
      <c r="D22" s="542"/>
      <c r="E22" s="542"/>
      <c r="F22" s="543"/>
      <c r="G22" s="544"/>
      <c r="H22" s="544"/>
      <c r="I22" s="544"/>
      <c r="J22" s="544"/>
    </row>
    <row r="23" spans="3:10">
      <c r="C23" s="540"/>
      <c r="D23" s="542"/>
      <c r="E23" s="542"/>
      <c r="F23" s="544"/>
      <c r="G23" s="544"/>
      <c r="H23" s="544"/>
      <c r="I23" s="544"/>
      <c r="J23" s="544"/>
    </row>
    <row r="24" spans="3:10">
      <c r="C24" s="528">
        <v>4</v>
      </c>
      <c r="D24" s="529" t="s">
        <v>394</v>
      </c>
      <c r="E24" s="516"/>
      <c r="F24" s="530" t="s">
        <v>407</v>
      </c>
      <c r="G24" s="530"/>
      <c r="H24" s="530"/>
      <c r="I24" s="530"/>
      <c r="J24" s="530"/>
    </row>
    <row r="25" spans="3:10">
      <c r="C25" s="528"/>
      <c r="D25" s="516"/>
      <c r="E25" s="516"/>
      <c r="F25" s="530"/>
      <c r="G25" s="530"/>
      <c r="H25" s="530"/>
      <c r="I25" s="530"/>
      <c r="J25" s="530"/>
    </row>
    <row r="26" spans="3:10">
      <c r="C26" s="528"/>
      <c r="D26" s="516"/>
      <c r="E26" s="516"/>
      <c r="F26" s="530"/>
      <c r="G26" s="530"/>
      <c r="H26" s="530"/>
      <c r="I26" s="530"/>
      <c r="J26" s="530"/>
    </row>
    <row r="27" spans="3:10" ht="1.5" customHeight="1">
      <c r="C27" s="528"/>
      <c r="D27" s="516"/>
      <c r="E27" s="516"/>
      <c r="F27" s="530"/>
      <c r="G27" s="530"/>
      <c r="H27" s="530"/>
      <c r="I27" s="530"/>
      <c r="J27" s="530"/>
    </row>
    <row r="28" spans="3:10" hidden="1">
      <c r="C28" s="528"/>
      <c r="D28" s="516"/>
      <c r="E28" s="516"/>
      <c r="F28" s="530"/>
      <c r="G28" s="530"/>
      <c r="H28" s="530"/>
      <c r="I28" s="530"/>
      <c r="J28" s="530"/>
    </row>
    <row r="29" spans="3:10" ht="56.25" customHeight="1">
      <c r="C29" s="458">
        <v>5</v>
      </c>
      <c r="D29" s="531" t="s">
        <v>395</v>
      </c>
      <c r="E29" s="531"/>
      <c r="F29" s="532" t="s">
        <v>408</v>
      </c>
      <c r="G29" s="533"/>
      <c r="H29" s="533"/>
      <c r="I29" s="533"/>
      <c r="J29" s="533"/>
    </row>
    <row r="30" spans="3:10" ht="24" customHeight="1">
      <c r="C30" s="459">
        <v>6</v>
      </c>
      <c r="D30" s="534" t="s">
        <v>58</v>
      </c>
      <c r="E30" s="534"/>
      <c r="F30" s="535" t="s">
        <v>401</v>
      </c>
      <c r="G30" s="535"/>
      <c r="H30" s="535"/>
      <c r="I30" s="535"/>
      <c r="J30" s="535"/>
    </row>
    <row r="31" spans="3:10" ht="72" customHeight="1">
      <c r="C31" s="460">
        <v>7</v>
      </c>
      <c r="D31" s="519" t="s">
        <v>415</v>
      </c>
      <c r="E31" s="520"/>
      <c r="F31" s="521" t="s">
        <v>402</v>
      </c>
      <c r="G31" s="522"/>
      <c r="H31" s="522"/>
      <c r="I31" s="522"/>
      <c r="J31" s="522"/>
    </row>
    <row r="32" spans="3:10" ht="30" customHeight="1">
      <c r="C32" s="461">
        <v>8</v>
      </c>
      <c r="D32" s="523" t="s">
        <v>414</v>
      </c>
      <c r="E32" s="524"/>
      <c r="F32" s="525" t="s">
        <v>403</v>
      </c>
      <c r="G32" s="525"/>
      <c r="H32" s="525"/>
      <c r="I32" s="525"/>
      <c r="J32" s="525"/>
    </row>
    <row r="33" spans="3:10" ht="23.25" customHeight="1">
      <c r="C33" s="325">
        <v>9</v>
      </c>
      <c r="D33" s="526" t="s">
        <v>396</v>
      </c>
      <c r="E33" s="526"/>
      <c r="F33" s="527" t="s">
        <v>399</v>
      </c>
      <c r="G33" s="527"/>
      <c r="H33" s="527"/>
      <c r="I33" s="527"/>
      <c r="J33" s="527"/>
    </row>
    <row r="34" spans="3:10" ht="34.5" customHeight="1">
      <c r="C34" s="462">
        <v>10</v>
      </c>
      <c r="D34" s="513" t="s">
        <v>397</v>
      </c>
      <c r="E34" s="513"/>
      <c r="F34" s="514" t="s">
        <v>404</v>
      </c>
      <c r="G34" s="515"/>
      <c r="H34" s="515"/>
      <c r="I34" s="515"/>
      <c r="J34" s="515"/>
    </row>
    <row r="35" spans="3:10" ht="34.5" customHeight="1">
      <c r="C35" s="405">
        <v>11</v>
      </c>
      <c r="D35" s="516" t="s">
        <v>398</v>
      </c>
      <c r="E35" s="516"/>
      <c r="F35" s="517" t="s">
        <v>405</v>
      </c>
      <c r="G35" s="518"/>
      <c r="H35" s="518"/>
      <c r="I35" s="518"/>
      <c r="J35" s="518"/>
    </row>
    <row r="36" spans="3:10" ht="30" customHeight="1">
      <c r="C36" s="510"/>
      <c r="D36" s="510"/>
      <c r="E36" s="510"/>
      <c r="F36" s="510"/>
      <c r="G36" s="510"/>
      <c r="H36" s="510"/>
      <c r="I36" s="445"/>
      <c r="J36" s="104"/>
    </row>
    <row r="37" spans="3:10" ht="18">
      <c r="C37" s="509"/>
      <c r="D37" s="509"/>
      <c r="E37" s="444"/>
    </row>
  </sheetData>
  <mergeCells count="35">
    <mergeCell ref="C13:C17"/>
    <mergeCell ref="D13:E17"/>
    <mergeCell ref="F13:J17"/>
    <mergeCell ref="C5:J6"/>
    <mergeCell ref="C2:J3"/>
    <mergeCell ref="C10:J10"/>
    <mergeCell ref="C11:C12"/>
    <mergeCell ref="D11:E12"/>
    <mergeCell ref="F11:J12"/>
    <mergeCell ref="D29:E29"/>
    <mergeCell ref="F29:J29"/>
    <mergeCell ref="D30:E30"/>
    <mergeCell ref="F30:J30"/>
    <mergeCell ref="C18:C20"/>
    <mergeCell ref="D18:E20"/>
    <mergeCell ref="F18:J20"/>
    <mergeCell ref="C21:C23"/>
    <mergeCell ref="D21:E23"/>
    <mergeCell ref="F21:J23"/>
    <mergeCell ref="C37:D37"/>
    <mergeCell ref="C36:H36"/>
    <mergeCell ref="C8:H8"/>
    <mergeCell ref="D34:E34"/>
    <mergeCell ref="F34:J34"/>
    <mergeCell ref="D35:E35"/>
    <mergeCell ref="F35:J35"/>
    <mergeCell ref="D31:E31"/>
    <mergeCell ref="F31:J31"/>
    <mergeCell ref="D32:E32"/>
    <mergeCell ref="F32:J32"/>
    <mergeCell ref="D33:E33"/>
    <mergeCell ref="F33:J33"/>
    <mergeCell ref="C24:C28"/>
    <mergeCell ref="D24:E28"/>
    <mergeCell ref="F24:J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7030A0"/>
    <pageSetUpPr fitToPage="1"/>
  </sheetPr>
  <dimension ref="A1:P197"/>
  <sheetViews>
    <sheetView showGridLines="0" workbookViewId="0">
      <selection activeCell="D8" sqref="D8"/>
    </sheetView>
  </sheetViews>
  <sheetFormatPr baseColWidth="10" defaultColWidth="0" defaultRowHeight="14.4" zeroHeight="1"/>
  <cols>
    <col min="1" max="1" width="40" customWidth="1"/>
    <col min="2" max="2" width="19.88671875" customWidth="1"/>
    <col min="3" max="7" width="19.5546875" customWidth="1"/>
    <col min="8" max="9" width="17.109375" customWidth="1"/>
    <col min="10" max="10" width="28.33203125" hidden="1" customWidth="1"/>
    <col min="11" max="11" width="13.33203125" hidden="1" customWidth="1"/>
    <col min="12" max="13" width="12.44140625" hidden="1" customWidth="1"/>
    <col min="14" max="16384" width="11.44140625" hidden="1"/>
  </cols>
  <sheetData>
    <row r="1" spans="1:14" ht="41.25" customHeight="1">
      <c r="A1" s="564" t="s">
        <v>3</v>
      </c>
      <c r="B1" s="564"/>
      <c r="C1" s="564"/>
      <c r="D1" s="564"/>
      <c r="E1" s="564"/>
      <c r="F1" s="564"/>
    </row>
    <row r="2" spans="1:14" ht="21">
      <c r="A2" s="573" t="s">
        <v>220</v>
      </c>
      <c r="B2" s="574"/>
      <c r="C2" s="574"/>
      <c r="D2" s="575"/>
    </row>
    <row r="3" spans="1:14" ht="15" customHeight="1">
      <c r="A3" s="576" t="s">
        <v>297</v>
      </c>
      <c r="B3" s="577"/>
      <c r="C3" s="577"/>
      <c r="D3" s="578"/>
      <c r="G3" s="131"/>
      <c r="H3" s="131"/>
      <c r="J3" t="s">
        <v>1</v>
      </c>
      <c r="K3" t="s">
        <v>68</v>
      </c>
      <c r="L3" t="s">
        <v>84</v>
      </c>
      <c r="N3" t="s">
        <v>85</v>
      </c>
    </row>
    <row r="4" spans="1:14" ht="15" customHeight="1">
      <c r="A4" s="243"/>
      <c r="G4" s="131"/>
      <c r="H4" s="131"/>
    </row>
    <row r="5" spans="1:14" ht="40.5" customHeight="1">
      <c r="A5" s="579" t="s">
        <v>413</v>
      </c>
      <c r="B5" s="580"/>
      <c r="C5" s="580"/>
      <c r="D5" s="581"/>
      <c r="H5" s="131"/>
      <c r="J5" t="s">
        <v>90</v>
      </c>
      <c r="K5" t="s">
        <v>69</v>
      </c>
      <c r="L5" t="s">
        <v>72</v>
      </c>
      <c r="N5" t="s">
        <v>67</v>
      </c>
    </row>
    <row r="6" spans="1:14" ht="15" customHeight="1">
      <c r="H6" s="131"/>
      <c r="J6" t="s">
        <v>89</v>
      </c>
      <c r="L6" t="s">
        <v>97</v>
      </c>
    </row>
    <row r="7" spans="1:14" ht="15" customHeight="1">
      <c r="A7" s="1" t="s">
        <v>231</v>
      </c>
      <c r="B7" s="565" t="s">
        <v>582</v>
      </c>
      <c r="C7" s="566"/>
      <c r="G7" s="131"/>
      <c r="H7" s="131"/>
      <c r="J7" t="s">
        <v>91</v>
      </c>
    </row>
    <row r="8" spans="1:14" ht="15" customHeight="1">
      <c r="A8" s="1" t="s">
        <v>232</v>
      </c>
      <c r="B8" s="567" t="s">
        <v>587</v>
      </c>
      <c r="C8" s="568"/>
      <c r="D8" s="69" t="s">
        <v>298</v>
      </c>
      <c r="G8" s="131"/>
      <c r="H8" s="131"/>
      <c r="J8" t="s">
        <v>92</v>
      </c>
    </row>
    <row r="9" spans="1:14" ht="15" customHeight="1">
      <c r="A9" s="1" t="s">
        <v>0</v>
      </c>
      <c r="B9" s="567" t="s">
        <v>91</v>
      </c>
      <c r="C9" s="568"/>
      <c r="D9" s="69" t="s">
        <v>86</v>
      </c>
      <c r="G9" s="131"/>
      <c r="H9" s="131"/>
      <c r="J9" t="s">
        <v>93</v>
      </c>
    </row>
    <row r="10" spans="1:14" ht="15" customHeight="1">
      <c r="A10" s="1" t="s">
        <v>2</v>
      </c>
      <c r="B10" s="569" t="s">
        <v>583</v>
      </c>
      <c r="C10" s="570"/>
      <c r="G10" s="131"/>
      <c r="H10" s="131"/>
    </row>
    <row r="11" spans="1:14" ht="15" customHeight="1">
      <c r="A11" s="1" t="s">
        <v>47</v>
      </c>
      <c r="B11" s="571" t="s">
        <v>584</v>
      </c>
      <c r="C11" s="572"/>
      <c r="G11" s="131"/>
      <c r="H11" s="131"/>
    </row>
    <row r="12" spans="1:14" ht="15" customHeight="1">
      <c r="A12" s="1" t="s">
        <v>211</v>
      </c>
      <c r="B12" s="772" t="s">
        <v>585</v>
      </c>
      <c r="C12" s="568"/>
      <c r="G12" s="131"/>
      <c r="H12" s="131"/>
      <c r="J12" t="s">
        <v>1</v>
      </c>
      <c r="K12" t="s">
        <v>94</v>
      </c>
    </row>
    <row r="13" spans="1:14" ht="15.75" customHeight="1">
      <c r="A13" s="1"/>
      <c r="B13" s="586"/>
      <c r="C13" s="587"/>
      <c r="G13" s="131"/>
      <c r="H13" s="131"/>
      <c r="J13" t="s">
        <v>90</v>
      </c>
      <c r="K13" t="s">
        <v>94</v>
      </c>
    </row>
    <row r="14" spans="1:14">
      <c r="A14" s="1" t="s">
        <v>71</v>
      </c>
      <c r="B14" s="583" t="s">
        <v>72</v>
      </c>
      <c r="C14" s="584"/>
      <c r="D14" s="585"/>
      <c r="E14" s="69" t="s">
        <v>86</v>
      </c>
      <c r="J14" t="s">
        <v>89</v>
      </c>
      <c r="K14" t="s">
        <v>95</v>
      </c>
    </row>
    <row r="15" spans="1:14" ht="27.75" customHeight="1">
      <c r="A15" s="232" t="s">
        <v>40</v>
      </c>
      <c r="J15" t="s">
        <v>91</v>
      </c>
      <c r="K15" t="s">
        <v>95</v>
      </c>
    </row>
    <row r="16" spans="1:14" ht="33" customHeight="1">
      <c r="A16" s="588" t="s">
        <v>383</v>
      </c>
      <c r="B16" s="589"/>
      <c r="C16" s="589"/>
      <c r="D16" s="589"/>
      <c r="E16" s="589"/>
      <c r="F16" s="589"/>
      <c r="G16" s="590"/>
      <c r="J16" t="s">
        <v>92</v>
      </c>
      <c r="K16" t="s">
        <v>95</v>
      </c>
    </row>
    <row r="17" spans="1:11">
      <c r="B17" s="124" t="s">
        <v>210</v>
      </c>
      <c r="J17" t="s">
        <v>93</v>
      </c>
      <c r="K17" t="s">
        <v>95</v>
      </c>
    </row>
    <row r="18" spans="1:11" ht="15" customHeight="1">
      <c r="A18" s="412" t="s">
        <v>459</v>
      </c>
      <c r="B18" s="413">
        <v>0</v>
      </c>
      <c r="C18" s="5"/>
      <c r="G18" s="131"/>
      <c r="H18" s="131"/>
    </row>
    <row r="19" spans="1:11" ht="15" customHeight="1">
      <c r="A19" s="414" t="s">
        <v>4</v>
      </c>
      <c r="B19" s="415"/>
      <c r="C19" s="406" t="s">
        <v>382</v>
      </c>
      <c r="D19" s="344"/>
      <c r="E19" s="344"/>
      <c r="F19" s="32"/>
      <c r="G19" s="345"/>
      <c r="H19" s="131"/>
    </row>
    <row r="20" spans="1:11" ht="15" customHeight="1">
      <c r="A20" s="414" t="s">
        <v>201</v>
      </c>
      <c r="B20" s="415"/>
      <c r="C20" s="407" t="s">
        <v>300</v>
      </c>
      <c r="D20" s="1"/>
      <c r="E20" s="1"/>
      <c r="G20" s="346"/>
      <c r="H20" s="131"/>
    </row>
    <row r="21" spans="1:11" ht="15" customHeight="1">
      <c r="A21" s="414" t="s">
        <v>20</v>
      </c>
      <c r="B21" s="415">
        <v>0</v>
      </c>
      <c r="C21" s="408" t="s">
        <v>301</v>
      </c>
      <c r="D21" s="42"/>
      <c r="E21" s="42"/>
      <c r="F21" s="34"/>
      <c r="G21" s="347"/>
      <c r="H21" s="131"/>
    </row>
    <row r="22" spans="1:11" ht="15" customHeight="1">
      <c r="A22" s="414" t="s">
        <v>21</v>
      </c>
      <c r="B22" s="415"/>
      <c r="C22" s="5"/>
      <c r="G22" s="131"/>
      <c r="H22" s="131"/>
    </row>
    <row r="23" spans="1:11" ht="15" customHeight="1">
      <c r="A23" s="414" t="s">
        <v>5</v>
      </c>
      <c r="B23" s="415"/>
      <c r="C23" s="5"/>
      <c r="G23" s="131"/>
      <c r="H23" s="131"/>
    </row>
    <row r="24" spans="1:11" ht="15" customHeight="1">
      <c r="A24" s="414" t="s">
        <v>6</v>
      </c>
      <c r="B24" s="415"/>
      <c r="C24" s="5"/>
      <c r="G24" s="131"/>
      <c r="H24" s="131"/>
    </row>
    <row r="25" spans="1:11" ht="15" customHeight="1">
      <c r="A25" s="414" t="s">
        <v>22</v>
      </c>
      <c r="B25" s="415"/>
      <c r="C25" s="5"/>
      <c r="G25" s="131"/>
      <c r="H25" s="131"/>
    </row>
    <row r="26" spans="1:11" ht="15" customHeight="1">
      <c r="A26" s="414" t="s">
        <v>32</v>
      </c>
      <c r="B26" s="415"/>
      <c r="C26" s="5"/>
      <c r="G26" s="131"/>
      <c r="H26" s="131"/>
    </row>
    <row r="27" spans="1:11" ht="15.75" customHeight="1">
      <c r="A27" s="414" t="s">
        <v>23</v>
      </c>
      <c r="B27" s="415"/>
      <c r="C27" s="5"/>
      <c r="G27" s="131"/>
      <c r="H27" s="131"/>
    </row>
    <row r="28" spans="1:11">
      <c r="A28" s="414" t="s">
        <v>11</v>
      </c>
      <c r="B28" s="415"/>
      <c r="C28" s="5"/>
    </row>
    <row r="29" spans="1:11">
      <c r="A29" s="414" t="s">
        <v>581</v>
      </c>
      <c r="B29" s="415">
        <v>1300</v>
      </c>
      <c r="C29" s="409" t="s">
        <v>202</v>
      </c>
      <c r="D29" s="32"/>
      <c r="E29" s="32"/>
      <c r="F29" s="32"/>
      <c r="G29" s="333"/>
    </row>
    <row r="30" spans="1:11">
      <c r="A30" s="414" t="s">
        <v>590</v>
      </c>
      <c r="B30" s="415">
        <v>100000</v>
      </c>
      <c r="C30" s="5" t="s">
        <v>7</v>
      </c>
      <c r="G30" s="330"/>
    </row>
    <row r="31" spans="1:11">
      <c r="A31" s="414" t="s">
        <v>296</v>
      </c>
      <c r="B31" s="415">
        <v>25000</v>
      </c>
      <c r="C31" s="5" t="s">
        <v>8</v>
      </c>
      <c r="G31" s="330"/>
    </row>
    <row r="32" spans="1:11">
      <c r="A32" s="414" t="s">
        <v>295</v>
      </c>
      <c r="B32" s="415">
        <v>0</v>
      </c>
      <c r="C32" s="5" t="s">
        <v>9</v>
      </c>
      <c r="G32" s="330"/>
    </row>
    <row r="33" spans="1:13">
      <c r="A33" s="414" t="s">
        <v>417</v>
      </c>
      <c r="B33" s="415">
        <v>0</v>
      </c>
      <c r="C33" s="5" t="s">
        <v>10</v>
      </c>
      <c r="G33" s="330"/>
    </row>
    <row r="34" spans="1:13">
      <c r="A34" s="416" t="s">
        <v>24</v>
      </c>
      <c r="B34" s="417">
        <v>212500</v>
      </c>
      <c r="C34" s="410" t="s">
        <v>223</v>
      </c>
      <c r="D34" s="34"/>
      <c r="E34" s="34"/>
      <c r="F34" s="34"/>
      <c r="G34" s="331"/>
    </row>
    <row r="35" spans="1:13" ht="15" thickBot="1">
      <c r="A35" s="8" t="s">
        <v>31</v>
      </c>
      <c r="B35" s="411">
        <f>SUM(B18:B34)</f>
        <v>338800</v>
      </c>
      <c r="C35" s="7"/>
    </row>
    <row r="36" spans="1:13">
      <c r="C36" s="7"/>
    </row>
    <row r="37" spans="1:13" ht="15.6">
      <c r="A37" s="2"/>
      <c r="C37" s="244"/>
      <c r="D37" s="3"/>
    </row>
    <row r="38" spans="1:13">
      <c r="C38" s="7"/>
    </row>
    <row r="39" spans="1:13" hidden="1">
      <c r="B39" s="60" t="s">
        <v>80</v>
      </c>
      <c r="C39" s="57" t="s">
        <v>25</v>
      </c>
      <c r="D39" s="57" t="s">
        <v>26</v>
      </c>
      <c r="E39" s="58" t="s">
        <v>27</v>
      </c>
      <c r="F39" s="57" t="s">
        <v>73</v>
      </c>
      <c r="G39" s="57" t="s">
        <v>74</v>
      </c>
      <c r="H39" s="57" t="s">
        <v>75</v>
      </c>
      <c r="I39" s="57" t="s">
        <v>76</v>
      </c>
      <c r="J39" s="57" t="s">
        <v>77</v>
      </c>
      <c r="K39" s="57" t="s">
        <v>78</v>
      </c>
      <c r="L39" s="57" t="s">
        <v>79</v>
      </c>
      <c r="M39" s="57" t="s">
        <v>31</v>
      </c>
    </row>
    <row r="40" spans="1:13" hidden="1">
      <c r="B40" s="81">
        <f>SUM(B18,B20,B22,B26:B32)</f>
        <v>126300</v>
      </c>
      <c r="C40" s="82">
        <f t="shared" ref="C40:C55" si="0">IF(ISERROR($B40/$C$37),0,$B40/$C$37)</f>
        <v>0</v>
      </c>
      <c r="D40" s="82" t="str">
        <f>IF($B40&gt;(SUM(C40:$C40)),IF(ISERROR($B40/$C$37),"",$B40/$C$37),0)</f>
        <v/>
      </c>
      <c r="E40" s="82" t="str">
        <f>IF($B40&gt;(SUM($C40:D40)),IF(ISERROR($B40/$C$37),"",$B40/$C$37),0)</f>
        <v/>
      </c>
      <c r="F40" s="82" t="str">
        <f>IF($B40&gt;(SUM($C40:E40)),IF(ISERROR($B40/$C$37),"",$B40/$C$37),0)</f>
        <v/>
      </c>
      <c r="G40" s="82" t="str">
        <f>IF($B40&gt;(SUM($C40:F40)),IF(ISERROR($B40/$C$37),"",$B40/$C$37),0)</f>
        <v/>
      </c>
      <c r="H40" s="82" t="str">
        <f>IF($B40&gt;(SUM($C40:G40)),IF(ISERROR($B40/$C$37),"",$B40/$C$37),0)</f>
        <v/>
      </c>
      <c r="I40" s="82" t="str">
        <f>IF($B40&gt;(SUM($C40:H40)),IF(ISERROR($B40/$C$37),"",$B40/$C$37),0)</f>
        <v/>
      </c>
      <c r="J40" s="82" t="str">
        <f>IF($B40&gt;(SUM($C40:I40)),IF(ISERROR($B40/$C$37),"",$B40/$C$37),0)</f>
        <v/>
      </c>
      <c r="K40" s="82" t="str">
        <f>IF($B40&gt;(SUM($C40:J40)),IF(ISERROR($B40/$C$37),"",$B40/$C$37),0)</f>
        <v/>
      </c>
      <c r="L40" s="82" t="str">
        <f>IF($B40&gt;(SUM($C40:K40)),IF(ISERROR($B40/$C$37),"",$B40/$C$37),0)</f>
        <v/>
      </c>
      <c r="M40" s="83">
        <f>SUM(C40:L40)</f>
        <v>0</v>
      </c>
    </row>
    <row r="41" spans="1:13" hidden="1">
      <c r="A41" t="str">
        <f>A18</f>
        <v>Frais d'établiseement</v>
      </c>
      <c r="B41" s="80">
        <f t="shared" ref="B41:B55" si="1">B18</f>
        <v>0</v>
      </c>
      <c r="C41" s="57">
        <f t="shared" si="0"/>
        <v>0</v>
      </c>
      <c r="D41" s="57">
        <f>IF($B41&gt;(SUM(C41:$C41)),IF(ISERROR($B41/$C$37),"",$B41/$C$37),0)</f>
        <v>0</v>
      </c>
      <c r="E41" s="57">
        <f>IF($B41&gt;(SUM($C41:D41)),IF(ISERROR($B41/$C$37),"",$B41/$C$37),0)</f>
        <v>0</v>
      </c>
      <c r="F41" s="57">
        <f>IF($B41&gt;(SUM($C41:E41)),IF(ISERROR($B41/$C$37),"",$B41/$C$37),0)</f>
        <v>0</v>
      </c>
      <c r="G41" s="57">
        <f>IF($B41&gt;(SUM($C41:F41)),IF(ISERROR($B41/$C$37),"",$B41/$C$37),0)</f>
        <v>0</v>
      </c>
      <c r="H41" s="57">
        <f>IF($B41&gt;(SUM($C41:G41)),IF(ISERROR($B41/$C$37),"",$B41/$C$37),0)</f>
        <v>0</v>
      </c>
      <c r="I41" s="57">
        <f>IF($B41&gt;(SUM($C41:H41)),IF(ISERROR($B41/$C$37),"",$B41/$C$37),0)</f>
        <v>0</v>
      </c>
      <c r="J41" s="57">
        <f>IF($B41&gt;(SUM($C41:I41)),IF(ISERROR($B41/$C$37),"",$B41/$C$37),0)</f>
        <v>0</v>
      </c>
      <c r="K41" s="57">
        <f>IF($B41&gt;(SUM($C41:J41)),IF(ISERROR($B41/$C$37),"",$B41/$C$37),0)</f>
        <v>0</v>
      </c>
      <c r="L41" s="57">
        <f>IF($B41&gt;(SUM($C41:K41)),IF(ISERROR($B41/$C$37),"",$B41/$C$37),0)</f>
        <v>0</v>
      </c>
      <c r="M41" s="57">
        <f t="shared" ref="M41:M55" si="2">SUM(C41:L41)</f>
        <v>0</v>
      </c>
    </row>
    <row r="42" spans="1:13" hidden="1">
      <c r="B42" s="80"/>
      <c r="C42" s="57"/>
      <c r="D42" s="57"/>
      <c r="E42" s="57"/>
      <c r="F42" s="57"/>
      <c r="G42" s="57"/>
      <c r="H42" s="57"/>
      <c r="I42" s="57"/>
      <c r="J42" s="57">
        <f>IF($B42&gt;(SUM($C42:I42)),IF(ISERROR($B42/$C$37),"",$B42/$C$37),0)</f>
        <v>0</v>
      </c>
      <c r="K42" s="57">
        <f>IF($B42&gt;(SUM($C42:J42)),IF(ISERROR($B42/$C$37),"",$B42/$C$37),0)</f>
        <v>0</v>
      </c>
      <c r="L42" s="57">
        <f>IF($B42&gt;(SUM($C42:K42)),IF(ISERROR($B42/$C$37),"",$B42/$C$37),0)</f>
        <v>0</v>
      </c>
      <c r="M42" s="57">
        <f t="shared" si="2"/>
        <v>0</v>
      </c>
    </row>
    <row r="43" spans="1:13" hidden="1">
      <c r="A43" t="str">
        <f t="shared" ref="A43" si="3">A20</f>
        <v>Logiciels, formations</v>
      </c>
      <c r="B43" s="80">
        <f t="shared" si="1"/>
        <v>0</v>
      </c>
      <c r="C43" s="57">
        <f t="shared" si="0"/>
        <v>0</v>
      </c>
      <c r="D43" s="57">
        <f>IF($B43&gt;(SUM(C43:$C43)),IF(ISERROR($B43/$C$37),"",$B43/$C$37),0)</f>
        <v>0</v>
      </c>
      <c r="E43" s="57">
        <f>IF($B43&gt;(SUM($C43:D43)),IF(ISERROR($B43/$C$37),"",$B43/$C$37),0)</f>
        <v>0</v>
      </c>
      <c r="F43" s="57">
        <f>IF($B43&gt;(SUM($C43:E43)),IF(ISERROR($B43/$C$37),"",$B43/$C$37),0)</f>
        <v>0</v>
      </c>
      <c r="G43" s="57">
        <f>IF($B43&gt;(SUM($C43:F43)),IF(ISERROR($B43/$C$37),"",$B43/$C$37),0)</f>
        <v>0</v>
      </c>
      <c r="H43" s="57">
        <f>IF($B43&gt;(SUM($C43:G43)),IF(ISERROR($B43/$C$37),"",$B43/$C$37),0)</f>
        <v>0</v>
      </c>
      <c r="I43" s="57">
        <f>IF($B43&gt;(SUM($C43:H43)),IF(ISERROR($B43/$C$37),"",$B43/$C$37),0)</f>
        <v>0</v>
      </c>
      <c r="J43" s="57">
        <f>IF($B43&gt;(SUM($C43:I43)),IF(ISERROR($B43/$C$37),"",$B43/$C$37),0)</f>
        <v>0</v>
      </c>
      <c r="K43" s="57">
        <f>IF($B43&gt;(SUM($C43:J43)),IF(ISERROR($B43/$C$37),"",$B43/$C$37),0)</f>
        <v>0</v>
      </c>
      <c r="L43" s="57">
        <f>IF($B43&gt;(SUM($C43:K43)),IF(ISERROR($B43/$C$37),"",$B43/$C$37),0)</f>
        <v>0</v>
      </c>
      <c r="M43" s="57">
        <f t="shared" si="2"/>
        <v>0</v>
      </c>
    </row>
    <row r="44" spans="1:13" hidden="1">
      <c r="B44" s="80"/>
      <c r="C44" s="57"/>
      <c r="D44" s="57"/>
      <c r="E44" s="57"/>
      <c r="F44" s="57"/>
      <c r="G44" s="57"/>
      <c r="H44" s="57"/>
      <c r="I44" s="57"/>
      <c r="J44" s="57">
        <f>IF($B44&gt;(SUM($C44:I44)),IF(ISERROR($B44/$C$37),"",$B44/$C$37),0)</f>
        <v>0</v>
      </c>
      <c r="K44" s="57">
        <f>IF($B44&gt;(SUM($C44:J44)),IF(ISERROR($B44/$C$37),"",$B44/$C$37),0)</f>
        <v>0</v>
      </c>
      <c r="L44" s="57">
        <f>IF($B44&gt;(SUM($C44:K44)),IF(ISERROR($B44/$C$37),"",$B44/$C$37),0)</f>
        <v>0</v>
      </c>
      <c r="M44" s="57">
        <f t="shared" si="2"/>
        <v>0</v>
      </c>
    </row>
    <row r="45" spans="1:13" hidden="1">
      <c r="A45" t="str">
        <f t="shared" ref="A45" si="4">A22</f>
        <v>Droits d’entrée</v>
      </c>
      <c r="B45" s="80">
        <f t="shared" si="1"/>
        <v>0</v>
      </c>
      <c r="C45" s="57">
        <f t="shared" si="0"/>
        <v>0</v>
      </c>
      <c r="D45" s="57">
        <f>IF($B45&gt;(SUM(C45:$C45)),IF(ISERROR($B45/$C$37),"",$B45/$C$37),0)</f>
        <v>0</v>
      </c>
      <c r="E45" s="57">
        <f>IF($B45&gt;(SUM($C45:D45)),IF(ISERROR($B45/$C$37),"",$B45/$C$37),0)</f>
        <v>0</v>
      </c>
      <c r="F45" s="57">
        <f>IF($B45&gt;(SUM($C45:E45)),IF(ISERROR($B45/$C$37),"",$B45/$C$37),0)</f>
        <v>0</v>
      </c>
      <c r="G45" s="57">
        <f>IF($B45&gt;(SUM($C45:F45)),IF(ISERROR($B45/$C$37),"",$B45/$C$37),0)</f>
        <v>0</v>
      </c>
      <c r="H45" s="57">
        <f>IF($B45&gt;(SUM($C45:G45)),IF(ISERROR($B45/$C$37),"",$B45/$C$37),0)</f>
        <v>0</v>
      </c>
      <c r="I45" s="57">
        <f>IF($B45&gt;(SUM($C45:H45)),IF(ISERROR($B45/$C$37),"",$B45/$C$37),0)</f>
        <v>0</v>
      </c>
      <c r="J45" s="57">
        <f>IF($B45&gt;(SUM($C45:I45)),IF(ISERROR($B45/$C$37),"",$B45/$C$37),0)</f>
        <v>0</v>
      </c>
      <c r="K45" s="57">
        <f>IF($B45&gt;(SUM($C45:J45)),IF(ISERROR($B45/$C$37),"",$B45/$C$37),0)</f>
        <v>0</v>
      </c>
      <c r="L45" s="57">
        <f>IF($B45&gt;(SUM($C45:K45)),IF(ISERROR($B45/$C$37),"",$B45/$C$37),0)</f>
        <v>0</v>
      </c>
      <c r="M45" s="57">
        <f t="shared" si="2"/>
        <v>0</v>
      </c>
    </row>
    <row r="46" spans="1:13" hidden="1">
      <c r="B46" s="80"/>
      <c r="C46" s="57"/>
      <c r="D46" s="57"/>
      <c r="E46" s="57"/>
      <c r="F46" s="57"/>
      <c r="G46" s="57"/>
      <c r="H46" s="57"/>
      <c r="I46" s="57"/>
      <c r="J46" s="57">
        <f>IF($B46&gt;(SUM($C46:I46)),IF(ISERROR($B46/$C$37),"",$B46/$C$37),0)</f>
        <v>0</v>
      </c>
      <c r="K46" s="57">
        <f>IF($B46&gt;(SUM($C46:J46)),IF(ISERROR($B46/$C$37),"",$B46/$C$37),0)</f>
        <v>0</v>
      </c>
      <c r="L46" s="57">
        <f>IF($B46&gt;(SUM($C46:K46)),IF(ISERROR($B46/$C$37),"",$B46/$C$37),0)</f>
        <v>0</v>
      </c>
      <c r="M46" s="57">
        <f t="shared" si="2"/>
        <v>0</v>
      </c>
    </row>
    <row r="47" spans="1:13" hidden="1">
      <c r="B47" s="80"/>
      <c r="C47" s="57"/>
      <c r="D47" s="57"/>
      <c r="E47" s="57"/>
      <c r="F47" s="57"/>
      <c r="G47" s="57"/>
      <c r="H47" s="57"/>
      <c r="I47" s="57"/>
      <c r="J47" s="57">
        <f>IF($B47&gt;(SUM($C47:I47)),IF(ISERROR($B47/$C$37),"",$B47/$C$37),0)</f>
        <v>0</v>
      </c>
      <c r="K47" s="57">
        <f>IF($B47&gt;(SUM($C47:J47)),IF(ISERROR($B47/$C$37),"",$B47/$C$37),0)</f>
        <v>0</v>
      </c>
      <c r="L47" s="57">
        <f>IF($B47&gt;(SUM($C47:K47)),IF(ISERROR($B47/$C$37),"",$B47/$C$37),0)</f>
        <v>0</v>
      </c>
      <c r="M47" s="57">
        <f t="shared" si="2"/>
        <v>0</v>
      </c>
    </row>
    <row r="48" spans="1:13" hidden="1">
      <c r="B48" s="80"/>
      <c r="C48" s="57"/>
      <c r="D48" s="57"/>
      <c r="E48" s="57"/>
      <c r="F48" s="57"/>
      <c r="G48" s="57"/>
      <c r="H48" s="57"/>
      <c r="I48" s="57"/>
      <c r="J48" s="57">
        <f>IF($B48&gt;(SUM($C48:I48)),IF(ISERROR($B48/$C$37),"",$B48/$C$37),0)</f>
        <v>0</v>
      </c>
      <c r="K48" s="57">
        <f>IF($B48&gt;(SUM($C48:J48)),IF(ISERROR($B48/$C$37),"",$B48/$C$37),0)</f>
        <v>0</v>
      </c>
      <c r="L48" s="57">
        <f>IF($B48&gt;(SUM($C48:K48)),IF(ISERROR($B48/$C$37),"",$B48/$C$37),0)</f>
        <v>0</v>
      </c>
      <c r="M48" s="57">
        <f t="shared" si="2"/>
        <v>0</v>
      </c>
    </row>
    <row r="49" spans="1:13" hidden="1">
      <c r="A49" t="str">
        <f t="shared" ref="A49" si="5">A26</f>
        <v>Frais de dossier</v>
      </c>
      <c r="B49" s="80">
        <f t="shared" si="1"/>
        <v>0</v>
      </c>
      <c r="C49" s="57">
        <f t="shared" si="0"/>
        <v>0</v>
      </c>
      <c r="D49" s="57">
        <f>IF($B49&gt;(SUM(C49:$C49)),IF(ISERROR($B49/$C$37),"",$B49/$C$37),0)</f>
        <v>0</v>
      </c>
      <c r="E49" s="57">
        <f>IF($B49&gt;(SUM($C49:D49)),IF(ISERROR($B49/$C$37),"",$B49/$C$37),0)</f>
        <v>0</v>
      </c>
      <c r="F49" s="57">
        <f>IF($B49&gt;(SUM($C49:E49)),IF(ISERROR($B49/$C$37),"",$B49/$C$37),0)</f>
        <v>0</v>
      </c>
      <c r="G49" s="57">
        <f>IF($B49&gt;(SUM($C49:F49)),IF(ISERROR($B49/$C$37),"",$B49/$C$37),0)</f>
        <v>0</v>
      </c>
      <c r="H49" s="57">
        <f>IF($B49&gt;(SUM($C49:G49)),IF(ISERROR($B49/$C$37),"",$B49/$C$37),0)</f>
        <v>0</v>
      </c>
      <c r="I49" s="57">
        <f>IF($B49&gt;(SUM($C49:H49)),IF(ISERROR($B49/$C$37),"",$B49/$C$37),0)</f>
        <v>0</v>
      </c>
      <c r="J49" s="57">
        <f>IF($B49&gt;(SUM($C49:I49)),IF(ISERROR($B49/$C$37),"",$B49/$C$37),0)</f>
        <v>0</v>
      </c>
      <c r="K49" s="57">
        <f>IF($B49&gt;(SUM($C49:J49)),IF(ISERROR($B49/$C$37),"",$B49/$C$37),0)</f>
        <v>0</v>
      </c>
      <c r="L49" s="57">
        <f>IF($B49&gt;(SUM($C49:K49)),IF(ISERROR($B49/$C$37),"",$B49/$C$37),0)</f>
        <v>0</v>
      </c>
      <c r="M49" s="57">
        <f t="shared" si="2"/>
        <v>0</v>
      </c>
    </row>
    <row r="50" spans="1:13" hidden="1">
      <c r="A50" t="str">
        <f t="shared" ref="A50" si="6">A27</f>
        <v>Frais de notaire ou d’avocat</v>
      </c>
      <c r="B50" s="80">
        <f t="shared" si="1"/>
        <v>0</v>
      </c>
      <c r="C50" s="57">
        <f t="shared" si="0"/>
        <v>0</v>
      </c>
      <c r="D50" s="57">
        <f>IF($B50&gt;(SUM(C50:$C50)),IF(ISERROR($B50/$C$37),"",$B50/$C$37),0)</f>
        <v>0</v>
      </c>
      <c r="E50" s="57">
        <f>IF($B50&gt;(SUM($C50:D50)),IF(ISERROR($B50/$C$37),"",$B50/$C$37),0)</f>
        <v>0</v>
      </c>
      <c r="F50" s="57">
        <f>IF($B50&gt;(SUM($C50:E50)),IF(ISERROR($B50/$C$37),"",$B50/$C$37),0)</f>
        <v>0</v>
      </c>
      <c r="G50" s="57">
        <f>IF($B50&gt;(SUM($C50:F50)),IF(ISERROR($B50/$C$37),"",$B50/$C$37),0)</f>
        <v>0</v>
      </c>
      <c r="H50" s="57">
        <f>IF($B50&gt;(SUM($C50:G50)),IF(ISERROR($B50/$C$37),"",$B50/$C$37),0)</f>
        <v>0</v>
      </c>
      <c r="I50" s="57">
        <f>IF($B50&gt;(SUM($C50:H50)),IF(ISERROR($B50/$C$37),"",$B50/$C$37),0)</f>
        <v>0</v>
      </c>
      <c r="J50" s="57">
        <f>IF($B50&gt;(SUM($C50:I50)),IF(ISERROR($B50/$C$37),"",$B50/$C$37),0)</f>
        <v>0</v>
      </c>
      <c r="K50" s="57">
        <f>IF($B50&gt;(SUM($C50:J50)),IF(ISERROR($B50/$C$37),"",$B50/$C$37),0)</f>
        <v>0</v>
      </c>
      <c r="L50" s="57">
        <f>IF($B50&gt;(SUM($C50:K50)),IF(ISERROR($B50/$C$37),"",$B50/$C$37),0)</f>
        <v>0</v>
      </c>
      <c r="M50" s="57">
        <f t="shared" si="2"/>
        <v>0</v>
      </c>
    </row>
    <row r="51" spans="1:13" hidden="1">
      <c r="A51" t="str">
        <f t="shared" ref="A51" si="7">A28</f>
        <v>Enseigne et éléments de communication</v>
      </c>
      <c r="B51" s="80">
        <f t="shared" si="1"/>
        <v>0</v>
      </c>
      <c r="C51" s="57">
        <f t="shared" si="0"/>
        <v>0</v>
      </c>
      <c r="D51" s="57">
        <f>IF($B51&gt;(SUM(C51:$C51)),IF(ISERROR($B51/$C$37),"",$B51/$C$37),0)</f>
        <v>0</v>
      </c>
      <c r="E51" s="57">
        <f>IF($B51&gt;(SUM($C51:D51)),IF(ISERROR($B51/$C$37),"",$B51/$C$37),0)</f>
        <v>0</v>
      </c>
      <c r="F51" s="57">
        <f>IF($B51&gt;(SUM($C51:E51)),IF(ISERROR($B51/$C$37),"",$B51/$C$37),0)</f>
        <v>0</v>
      </c>
      <c r="G51" s="57">
        <f>IF($B51&gt;(SUM($C51:F51)),IF(ISERROR($B51/$C$37),"",$B51/$C$37),0)</f>
        <v>0</v>
      </c>
      <c r="H51" s="57">
        <f>IF($B51&gt;(SUM($C51:G51)),IF(ISERROR($B51/$C$37),"",$B51/$C$37),0)</f>
        <v>0</v>
      </c>
      <c r="I51" s="57">
        <f>IF($B51&gt;(SUM($C51:H51)),IF(ISERROR($B51/$C$37),"",$B51/$C$37),0)</f>
        <v>0</v>
      </c>
      <c r="J51" s="57">
        <f>IF($B51&gt;(SUM($C51:I51)),IF(ISERROR($B51/$C$37),"",$B51/$C$37),0)</f>
        <v>0</v>
      </c>
      <c r="K51" s="57">
        <f>IF($B51&gt;(SUM($C51:J51)),IF(ISERROR($B51/$C$37),"",$B51/$C$37),0)</f>
        <v>0</v>
      </c>
      <c r="L51" s="57">
        <f>IF($B51&gt;(SUM($C51:K51)),IF(ISERROR($B51/$C$37),"",$B51/$C$37),0)</f>
        <v>0</v>
      </c>
      <c r="M51" s="57">
        <f t="shared" si="2"/>
        <v>0</v>
      </c>
    </row>
    <row r="52" spans="1:13" hidden="1">
      <c r="A52" t="str">
        <f t="shared" ref="A52" si="8">A29</f>
        <v>Mobilier et matériel informatique</v>
      </c>
      <c r="B52" s="80">
        <f>B29</f>
        <v>1300</v>
      </c>
      <c r="C52" s="57">
        <f t="shared" si="0"/>
        <v>0</v>
      </c>
      <c r="D52" s="57" t="str">
        <f>IF($B52&gt;(SUM(C52:$C52)),IF(ISERROR($B52/$C$37),"",$B52/$C$37),0)</f>
        <v/>
      </c>
      <c r="E52" s="57" t="str">
        <f>IF($B52&gt;(SUM($C52:D52)),IF(ISERROR($B52/$C$37),"",$B52/$C$37),0)</f>
        <v/>
      </c>
      <c r="F52" s="57" t="str">
        <f>IF($B52&gt;(SUM($C52:E52)),IF(ISERROR($B52/$C$37),"",$B52/$C$37),0)</f>
        <v/>
      </c>
      <c r="G52" s="57" t="str">
        <f>IF($B52&gt;(SUM($C52:F52)),IF(ISERROR($B52/$C$37),"",$B52/$C$37),0)</f>
        <v/>
      </c>
      <c r="H52" s="57" t="str">
        <f>IF($B52&gt;(SUM($C52:G52)),IF(ISERROR($B52/$C$37),"",$B52/$C$37),0)</f>
        <v/>
      </c>
      <c r="I52" s="57" t="str">
        <f>IF($B52&gt;(SUM($C52:H52)),IF(ISERROR($B52/$C$37),"",$B52/$C$37),0)</f>
        <v/>
      </c>
      <c r="J52" s="57" t="str">
        <f>IF($B52&gt;(SUM($C52:I52)),IF(ISERROR($B52/$C$37),"",$B52/$C$37),0)</f>
        <v/>
      </c>
      <c r="K52" s="57" t="str">
        <f>IF($B52&gt;(SUM($C52:J52)),IF(ISERROR($B52/$C$37),"",$B52/$C$37),0)</f>
        <v/>
      </c>
      <c r="L52" s="57" t="str">
        <f>IF($B52&gt;(SUM($C52:K52)),IF(ISERROR($B52/$C$37),"",$B52/$C$37),0)</f>
        <v/>
      </c>
      <c r="M52" s="57">
        <f t="shared" si="2"/>
        <v>0</v>
      </c>
    </row>
    <row r="53" spans="1:13" hidden="1">
      <c r="A53" t="str">
        <f t="shared" ref="A53" si="9">A30</f>
        <v>Engins eu autres materiaux de construction</v>
      </c>
      <c r="B53" s="80">
        <f t="shared" si="1"/>
        <v>100000</v>
      </c>
      <c r="C53" s="57">
        <f t="shared" si="0"/>
        <v>0</v>
      </c>
      <c r="D53" s="57" t="str">
        <f>IF($B53&gt;(SUM(C53:$C53)),IF(ISERROR($B53/$C$37),"",$B53/$C$37),0)</f>
        <v/>
      </c>
      <c r="E53" s="57" t="str">
        <f>IF($B53&gt;(SUM($C53:D53)),IF(ISERROR($B53/$C$37),"",$B53/$C$37),0)</f>
        <v/>
      </c>
      <c r="F53" s="57" t="str">
        <f>IF($B53&gt;(SUM($C53:E53)),IF(ISERROR($B53/$C$37),"",$B53/$C$37),0)</f>
        <v/>
      </c>
      <c r="G53" s="57" t="str">
        <f>IF($B53&gt;(SUM($C53:F53)),IF(ISERROR($B53/$C$37),"",$B53/$C$37),0)</f>
        <v/>
      </c>
      <c r="H53" s="57" t="str">
        <f>IF($B53&gt;(SUM($C53:G53)),IF(ISERROR($B53/$C$37),"",$B53/$C$37),0)</f>
        <v/>
      </c>
      <c r="I53" s="57" t="str">
        <f>IF($B53&gt;(SUM($C53:H53)),IF(ISERROR($B53/$C$37),"",$B53/$C$37),0)</f>
        <v/>
      </c>
      <c r="J53" s="57" t="str">
        <f>IF($B53&gt;(SUM($C53:I53)),IF(ISERROR($B53/$C$37),"",$B53/$C$37),0)</f>
        <v/>
      </c>
      <c r="K53" s="57" t="str">
        <f>IF($B53&gt;(SUM($C53:J53)),IF(ISERROR($B53/$C$37),"",$B53/$C$37),0)</f>
        <v/>
      </c>
      <c r="L53" s="57" t="str">
        <f>IF($B53&gt;(SUM($C53:K53)),IF(ISERROR($B53/$C$37),"",$B53/$C$37),0)</f>
        <v/>
      </c>
      <c r="M53" s="57">
        <f t="shared" si="2"/>
        <v>0</v>
      </c>
    </row>
    <row r="54" spans="1:13" hidden="1">
      <c r="A54" t="str">
        <f t="shared" ref="A54" si="10">A31</f>
        <v xml:space="preserve">Matériel de transport </v>
      </c>
      <c r="B54" s="80">
        <f t="shared" si="1"/>
        <v>25000</v>
      </c>
      <c r="C54" s="57">
        <f t="shared" si="0"/>
        <v>0</v>
      </c>
      <c r="D54" s="57" t="str">
        <f>IF($B54&gt;(SUM(C54:$C54)),IF(ISERROR($B54/$C$37),"",$B54/$C$37),0)</f>
        <v/>
      </c>
      <c r="E54" s="57" t="str">
        <f>IF($B54&gt;(SUM($C54:D54)),IF(ISERROR($B54/$C$37),"",$B54/$C$37),0)</f>
        <v/>
      </c>
      <c r="F54" s="57" t="str">
        <f>IF($B54&gt;(SUM($C54:E54)),IF(ISERROR($B54/$C$37),"",$B54/$C$37),0)</f>
        <v/>
      </c>
      <c r="G54" s="57" t="str">
        <f>IF($B54&gt;(SUM($C54:F54)),IF(ISERROR($B54/$C$37),"",$B54/$C$37),0)</f>
        <v/>
      </c>
      <c r="H54" s="57" t="str">
        <f>IF($B54&gt;(SUM($C54:G54)),IF(ISERROR($B54/$C$37),"",$B54/$C$37),0)</f>
        <v/>
      </c>
      <c r="I54" s="57" t="str">
        <f>IF($B54&gt;(SUM($C54:H54)),IF(ISERROR($B54/$C$37),"",$B54/$C$37),0)</f>
        <v/>
      </c>
      <c r="J54" s="57" t="str">
        <f>IF($B54&gt;(SUM($C54:I54)),IF(ISERROR($B54/$C$37),"",$B54/$C$37),0)</f>
        <v/>
      </c>
      <c r="K54" s="57" t="str">
        <f>IF($B54&gt;(SUM($C54:J54)),IF(ISERROR($B54/$C$37),"",$B54/$C$37),0)</f>
        <v/>
      </c>
      <c r="L54" s="57" t="str">
        <f>IF($B54&gt;(SUM($C54:K54)),IF(ISERROR($B54/$C$37),"",$B54/$C$37),0)</f>
        <v/>
      </c>
      <c r="M54" s="57">
        <f t="shared" si="2"/>
        <v>0</v>
      </c>
    </row>
    <row r="55" spans="1:13" hidden="1">
      <c r="A55" t="str">
        <f t="shared" ref="A55" si="11">A32</f>
        <v>Equipement</v>
      </c>
      <c r="B55" s="80">
        <f t="shared" si="1"/>
        <v>0</v>
      </c>
      <c r="C55" s="57">
        <f t="shared" si="0"/>
        <v>0</v>
      </c>
      <c r="D55" s="57">
        <f>IF($B55&gt;(SUM(C55:$C55)),IF(ISERROR($B55/$C$37),"",$B55/$C$37),0)</f>
        <v>0</v>
      </c>
      <c r="E55" s="57">
        <f>IF($B55&gt;(SUM($C55:D55)),IF(ISERROR($B55/$C$37),"",$B55/$C$37),0)</f>
        <v>0</v>
      </c>
      <c r="F55" s="57">
        <f>IF($B55&gt;(SUM($C55:E55)),IF(ISERROR($B55/$C$37),"",$B55/$C$37),0)</f>
        <v>0</v>
      </c>
      <c r="G55" s="57">
        <f>IF($B55&gt;(SUM($C55:F55)),IF(ISERROR($B55/$C$37),"",$B55/$C$37),0)</f>
        <v>0</v>
      </c>
      <c r="H55" s="57">
        <f>IF($B55&gt;(SUM($C55:G55)),IF(ISERROR($B55/$C$37),"",$B55/$C$37),0)</f>
        <v>0</v>
      </c>
      <c r="I55" s="57">
        <f>IF($B55&gt;(SUM($C55:H55)),IF(ISERROR($B55/$C$37),"",$B55/$C$37),0)</f>
        <v>0</v>
      </c>
      <c r="J55" s="57">
        <f>IF($B55&gt;(SUM($C55:I55)),IF(ISERROR($B55/$C$37),"",$B55/$C$37),0)</f>
        <v>0</v>
      </c>
      <c r="K55" s="57">
        <f>IF($B55&gt;(SUM($C55:J55)),IF(ISERROR($B55/$C$37),"",$B55/$C$37),0)</f>
        <v>0</v>
      </c>
      <c r="L55" s="57">
        <f>IF($B55&gt;(SUM($C55:K55)),IF(ISERROR($B55/$C$37),"",$B55/$C$37),0)</f>
        <v>0</v>
      </c>
      <c r="M55" s="57">
        <f t="shared" si="2"/>
        <v>0</v>
      </c>
    </row>
    <row r="56" spans="1:13" hidden="1">
      <c r="A56" s="59"/>
      <c r="B56" s="57"/>
      <c r="C56" s="57"/>
      <c r="D56" s="57"/>
      <c r="E56" s="57"/>
      <c r="F56" s="57"/>
      <c r="G56" s="57"/>
      <c r="H56" s="57"/>
      <c r="I56" s="57"/>
      <c r="J56" s="57"/>
      <c r="K56" s="57"/>
      <c r="L56" s="57"/>
    </row>
    <row r="57" spans="1:13" ht="18">
      <c r="A57" s="232" t="s">
        <v>41</v>
      </c>
    </row>
    <row r="58" spans="1:13">
      <c r="A58" s="4"/>
    </row>
    <row r="59" spans="1:13">
      <c r="B59" s="124" t="s">
        <v>210</v>
      </c>
    </row>
    <row r="60" spans="1:13" ht="15" customHeight="1">
      <c r="A60" s="430" t="s">
        <v>222</v>
      </c>
      <c r="B60" s="463">
        <v>38800</v>
      </c>
      <c r="C60" s="6"/>
      <c r="F60" s="65"/>
      <c r="G60" s="132"/>
      <c r="H60" s="132"/>
    </row>
    <row r="61" spans="1:13" ht="15" customHeight="1">
      <c r="A61" s="431" t="s">
        <v>56</v>
      </c>
      <c r="B61" s="464"/>
      <c r="C61" s="126" t="s">
        <v>48</v>
      </c>
      <c r="D61" s="127" t="s">
        <v>212</v>
      </c>
      <c r="F61" s="65"/>
      <c r="G61" s="132"/>
      <c r="H61" s="132"/>
    </row>
    <row r="62" spans="1:13" ht="15" customHeight="1">
      <c r="A62" s="419" t="s">
        <v>588</v>
      </c>
      <c r="B62" s="463">
        <v>150000</v>
      </c>
      <c r="C62" s="420">
        <v>3.4000000000000002E-2</v>
      </c>
      <c r="D62" s="421">
        <v>7</v>
      </c>
      <c r="E62" s="91" t="s">
        <v>299</v>
      </c>
      <c r="F62" s="65"/>
      <c r="G62" s="132"/>
      <c r="H62" s="132"/>
    </row>
    <row r="63" spans="1:13" ht="15" customHeight="1">
      <c r="A63" s="422" t="s">
        <v>589</v>
      </c>
      <c r="B63" s="464">
        <v>150000</v>
      </c>
      <c r="C63" s="418">
        <v>3.4000000000000002E-2</v>
      </c>
      <c r="D63" s="423">
        <v>7</v>
      </c>
      <c r="F63" s="65"/>
      <c r="G63" s="132"/>
      <c r="H63" s="132"/>
    </row>
    <row r="64" spans="1:13" ht="15" customHeight="1">
      <c r="A64" s="424" t="s">
        <v>110</v>
      </c>
      <c r="B64" s="465"/>
      <c r="C64" s="425"/>
      <c r="D64" s="426"/>
      <c r="F64" s="65"/>
      <c r="G64" s="132"/>
      <c r="H64" s="132"/>
    </row>
    <row r="65" spans="1:16" ht="15" customHeight="1">
      <c r="A65" s="427" t="s">
        <v>111</v>
      </c>
      <c r="B65" s="464"/>
      <c r="C65" s="65"/>
      <c r="F65" s="65"/>
      <c r="G65" s="132"/>
      <c r="H65" s="132"/>
    </row>
    <row r="66" spans="1:16" ht="15" customHeight="1">
      <c r="A66" s="428" t="s">
        <v>112</v>
      </c>
      <c r="B66" s="464"/>
      <c r="C66" s="65"/>
      <c r="F66" s="65"/>
      <c r="G66" s="132"/>
      <c r="H66" s="132"/>
    </row>
    <row r="67" spans="1:16" ht="15.75" customHeight="1">
      <c r="A67" s="429" t="s">
        <v>113</v>
      </c>
      <c r="B67" s="465"/>
      <c r="C67" s="65"/>
      <c r="F67" s="65"/>
      <c r="G67" s="132"/>
      <c r="H67" s="132"/>
    </row>
    <row r="68" spans="1:16" ht="15.75" customHeight="1" thickBot="1">
      <c r="A68" s="8" t="s">
        <v>31</v>
      </c>
      <c r="B68" s="466">
        <f>SUM(B60:B67)</f>
        <v>338800</v>
      </c>
      <c r="C68" s="15" t="str">
        <f>IF(B68=B35,"","Le total doit être égal au total du tableau précédent, veuillez modifier les chiffres")</f>
        <v/>
      </c>
      <c r="G68" s="132"/>
      <c r="H68" s="132"/>
    </row>
    <row r="69" spans="1:16" hidden="1">
      <c r="A69" s="8"/>
      <c r="B69" s="61"/>
      <c r="C69" s="15"/>
    </row>
    <row r="70" spans="1:16" hidden="1">
      <c r="A70" s="1" t="s">
        <v>82</v>
      </c>
      <c r="B70" s="8" t="s">
        <v>81</v>
      </c>
      <c r="C70" s="63" t="s">
        <v>145</v>
      </c>
      <c r="D70" s="64" t="s">
        <v>146</v>
      </c>
      <c r="E70" s="8" t="s">
        <v>147</v>
      </c>
      <c r="F70" s="8" t="s">
        <v>83</v>
      </c>
      <c r="G70" s="223" t="s">
        <v>139</v>
      </c>
      <c r="H70" s="223" t="s">
        <v>140</v>
      </c>
      <c r="I70" s="223" t="s">
        <v>141</v>
      </c>
      <c r="J70" s="225" t="s">
        <v>247</v>
      </c>
      <c r="K70" s="227" t="s">
        <v>248</v>
      </c>
      <c r="L70" s="220" t="s">
        <v>142</v>
      </c>
      <c r="M70" s="220" t="s">
        <v>143</v>
      </c>
      <c r="N70" s="220" t="s">
        <v>144</v>
      </c>
      <c r="O70" s="220" t="s">
        <v>245</v>
      </c>
      <c r="P70" s="220" t="s">
        <v>246</v>
      </c>
    </row>
    <row r="71" spans="1:16" hidden="1">
      <c r="A71" t="s">
        <v>33</v>
      </c>
      <c r="B71" s="62">
        <f>IF(ISERROR((PMT(C62/12,D62,B62))*-1),0,(PMT(C62/12,D62,B62))*-1)</f>
        <v>21672.115689118778</v>
      </c>
      <c r="C71" s="61">
        <f>B71*D62</f>
        <v>151704.80982383146</v>
      </c>
      <c r="D71" s="64">
        <f>IF(ISERROR(B62/D62),0,B62/D62)</f>
        <v>21428.571428571428</v>
      </c>
      <c r="E71" s="92">
        <f>B71-D71</f>
        <v>243.54426054735086</v>
      </c>
      <c r="F71" s="62">
        <f>E71*D62</f>
        <v>1704.809823831456</v>
      </c>
      <c r="G71" s="224">
        <f>IF($D62&gt;12,$E71*12,$E71*$D62)</f>
        <v>1704.809823831456</v>
      </c>
      <c r="H71" s="224">
        <f>IF($D62-12&lt;0,0,IF($D62&gt;24,$E71*12,($D62-12)*$E71))</f>
        <v>0</v>
      </c>
      <c r="I71" s="224">
        <f>IF($D62-24&lt;0,0,IF($D62&gt;36,$E71*12,($D62-24)*$E71))</f>
        <v>0</v>
      </c>
      <c r="J71" s="226">
        <f>IF($D62-36&lt;0,0,IF($D62&gt;48,$E71*12,($D62-36)*$E71))</f>
        <v>0</v>
      </c>
      <c r="K71" s="228">
        <f>IF($D62-48&lt;0,0,IF($D62&gt;60,$E71*12,($D62-48)*$E71))</f>
        <v>0</v>
      </c>
      <c r="L71" s="221">
        <f>IF($D62&gt;12,$D71*12,$D71*$D62)</f>
        <v>150000</v>
      </c>
      <c r="M71" s="221">
        <f>IF($D62-12&lt;0,0,IF($D62&gt;24,$D71*12,($D62-12)*$D71))</f>
        <v>0</v>
      </c>
      <c r="N71" s="221">
        <f>IF($D62-24&lt;0,0,IF($D62&gt;36,$D71*12,($D62-24)*$D71))</f>
        <v>0</v>
      </c>
      <c r="O71" s="221">
        <f>IF($D62-36&lt;0,0,IF($D62&gt;48,$D71*12,($D62-36)*$D71))</f>
        <v>0</v>
      </c>
      <c r="P71" s="221">
        <f>IF($D62-48&lt;0,0,IF($D62&gt;60,$D71*12,($D62-48)*$D71))</f>
        <v>0</v>
      </c>
    </row>
    <row r="72" spans="1:16" hidden="1">
      <c r="A72" t="s">
        <v>34</v>
      </c>
      <c r="B72" s="62">
        <f t="shared" ref="B72:B73" si="12">IF(ISERROR((PMT(C63/12,D63,B63))*-1),0,(PMT(C63/12,D63,B63))*-1)</f>
        <v>21672.115689118778</v>
      </c>
      <c r="C72" s="61">
        <f t="shared" ref="C72:C73" si="13">B72*D63</f>
        <v>151704.80982383146</v>
      </c>
      <c r="D72" s="64">
        <f t="shared" ref="D72:D73" si="14">IF(ISERROR(B63/D63),0,B63/D63)</f>
        <v>21428.571428571428</v>
      </c>
      <c r="E72" s="92">
        <f t="shared" ref="E72:E73" si="15">B72-D72</f>
        <v>243.54426054735086</v>
      </c>
      <c r="F72" s="62">
        <f t="shared" ref="F72:F73" si="16">E72*D63</f>
        <v>1704.809823831456</v>
      </c>
      <c r="G72" s="224">
        <f>IF($D63&gt;12,$E72*12,$E72*$D63)</f>
        <v>1704.809823831456</v>
      </c>
      <c r="H72" s="224">
        <f>IF($D63-12&lt;0,0,IF($D63&gt;24,$E72*12,($D63-12)*$E72))</f>
        <v>0</v>
      </c>
      <c r="I72" s="224">
        <f>IF($D63-24&lt;0,0,IF($D63&gt;36,$E72*12,($D63-24)*$E72))</f>
        <v>0</v>
      </c>
      <c r="J72" s="226">
        <f>IF($D63-36&lt;0,0,IF($D63&gt;48,$E72*12,($D63-36)*$E72))</f>
        <v>0</v>
      </c>
      <c r="K72" s="228">
        <f>IF($D63-48&lt;0,0,IF($D63&gt;60,$E72*12,($D63-48)*$E72))</f>
        <v>0</v>
      </c>
      <c r="L72" s="221">
        <f>IF($D63&gt;12,$D72*12,$D72*$D63)</f>
        <v>150000</v>
      </c>
      <c r="M72" s="221">
        <f>IF($D63-12&lt;0,0,IF($D63&gt;24,$D72*12,($D63-12)*$D72))</f>
        <v>0</v>
      </c>
      <c r="N72" s="221">
        <f>IF($D63-24&lt;0,0,IF($D63&gt;36,$D72*12,($D63-24)*$D72))</f>
        <v>0</v>
      </c>
      <c r="O72" s="221">
        <f t="shared" ref="O72:O73" si="17">IF($D63-36&lt;0,0,IF($D63&gt;48,$D72*12,($D63-36)*$D72))</f>
        <v>0</v>
      </c>
      <c r="P72" s="221">
        <f t="shared" ref="P72:P73" si="18">IF($D63-48&lt;0,0,IF($D63&gt;60,$D72*12,($D63-48)*$D72))</f>
        <v>0</v>
      </c>
    </row>
    <row r="73" spans="1:16" hidden="1">
      <c r="A73" t="s">
        <v>35</v>
      </c>
      <c r="B73" s="62">
        <f t="shared" si="12"/>
        <v>0</v>
      </c>
      <c r="C73" s="61">
        <f t="shared" si="13"/>
        <v>0</v>
      </c>
      <c r="D73" s="64">
        <f t="shared" si="14"/>
        <v>0</v>
      </c>
      <c r="E73" s="92">
        <f t="shared" si="15"/>
        <v>0</v>
      </c>
      <c r="F73" s="62">
        <f t="shared" si="16"/>
        <v>0</v>
      </c>
      <c r="G73" s="224">
        <f>IF($D64&gt;12,$E73*12,$E73*$D64)</f>
        <v>0</v>
      </c>
      <c r="H73" s="224">
        <f>IF($D64-12&lt;0,0,IF($D64&gt;24,$E73*12,($D64-12)*$E73))</f>
        <v>0</v>
      </c>
      <c r="I73" s="224">
        <f>IF($D64-24&lt;0,0,IF($D64&gt;36,$E73*12,($D64-24)*$E73))</f>
        <v>0</v>
      </c>
      <c r="J73" s="226">
        <f>IF($D64-24&lt;0,0,IF($D64&gt;48,$E73*12,($D64-24)*$E73))</f>
        <v>0</v>
      </c>
      <c r="K73" s="228">
        <f>IF($D64-48&lt;0,0,IF($D64&gt;60,$E73*12,($D64-48)*$E73))</f>
        <v>0</v>
      </c>
      <c r="L73" s="221">
        <f>IF($D64&gt;12,$D73*12,$D73*$D64)</f>
        <v>0</v>
      </c>
      <c r="M73" s="221">
        <f>IF($D64-12&lt;0,0,IF($D64&gt;24,$D73*12,($D64-12)*$D73))</f>
        <v>0</v>
      </c>
      <c r="N73" s="221">
        <f>IF($D64-24&lt;0,0,IF($D64&gt;36,$D73*12,($D64-24)*$D73))</f>
        <v>0</v>
      </c>
      <c r="O73" s="221">
        <f t="shared" si="17"/>
        <v>0</v>
      </c>
      <c r="P73" s="221">
        <f t="shared" si="18"/>
        <v>0</v>
      </c>
    </row>
    <row r="74" spans="1:16" ht="29.25" customHeight="1">
      <c r="A74" s="232" t="s">
        <v>42</v>
      </c>
      <c r="H74" s="61"/>
      <c r="I74" s="129">
        <f t="shared" ref="I74" si="19">SUM(I71:I73)</f>
        <v>0</v>
      </c>
      <c r="L74" s="222">
        <f>SUM(L71:L73)</f>
        <v>300000</v>
      </c>
      <c r="M74" s="222">
        <f>SUM(M71:M73)</f>
        <v>0</v>
      </c>
      <c r="N74" s="222">
        <f>SUM(N71:N73)</f>
        <v>0</v>
      </c>
      <c r="O74" s="222">
        <f>SUM(O71:O73)</f>
        <v>0</v>
      </c>
      <c r="P74" s="222">
        <f>SUM(P71:P73)</f>
        <v>0</v>
      </c>
    </row>
    <row r="75" spans="1:16">
      <c r="A75" s="4" t="s">
        <v>224</v>
      </c>
    </row>
    <row r="76" spans="1:16"/>
    <row r="77" spans="1:16">
      <c r="B77" s="125" t="s">
        <v>207</v>
      </c>
      <c r="C77" s="125" t="s">
        <v>208</v>
      </c>
      <c r="D77" s="125" t="s">
        <v>209</v>
      </c>
      <c r="E77" s="125" t="s">
        <v>234</v>
      </c>
      <c r="F77" s="125" t="s">
        <v>235</v>
      </c>
    </row>
    <row r="78" spans="1:16">
      <c r="A78" s="123" t="s">
        <v>12</v>
      </c>
      <c r="B78" s="432">
        <v>16380</v>
      </c>
      <c r="C78" s="433">
        <f>B78*1.1</f>
        <v>18018</v>
      </c>
      <c r="D78" s="433">
        <f t="shared" ref="D78:F78" si="20">C78*1.1</f>
        <v>19819.800000000003</v>
      </c>
      <c r="E78" s="433">
        <f t="shared" si="20"/>
        <v>21801.780000000006</v>
      </c>
      <c r="F78" s="433">
        <f t="shared" si="20"/>
        <v>23981.95800000001</v>
      </c>
    </row>
    <row r="79" spans="1:16" ht="15" customHeight="1">
      <c r="A79" s="123" t="s">
        <v>311</v>
      </c>
      <c r="B79" s="434">
        <f>39*12</f>
        <v>468</v>
      </c>
      <c r="C79" s="307">
        <f>B79</f>
        <v>468</v>
      </c>
      <c r="D79" s="306">
        <f>C79</f>
        <v>468</v>
      </c>
      <c r="E79" s="307">
        <f>D79</f>
        <v>468</v>
      </c>
      <c r="F79" s="415">
        <f>E79</f>
        <v>468</v>
      </c>
      <c r="G79" s="132"/>
      <c r="H79" s="132"/>
    </row>
    <row r="80" spans="1:16" ht="15" customHeight="1">
      <c r="A80" s="123" t="s">
        <v>593</v>
      </c>
      <c r="B80" s="434">
        <v>105630</v>
      </c>
      <c r="C80" s="307">
        <f>B80*1.1</f>
        <v>116193.00000000001</v>
      </c>
      <c r="D80" s="307">
        <f t="shared" ref="D80:F80" si="21">C80*1.1</f>
        <v>127812.30000000003</v>
      </c>
      <c r="E80" s="307">
        <f t="shared" si="21"/>
        <v>140593.53000000006</v>
      </c>
      <c r="F80" s="307">
        <f t="shared" si="21"/>
        <v>154652.88300000009</v>
      </c>
      <c r="G80" s="132"/>
      <c r="H80" s="132"/>
    </row>
    <row r="81" spans="1:8" ht="15" customHeight="1">
      <c r="A81" s="123" t="s">
        <v>458</v>
      </c>
      <c r="B81" s="434">
        <v>2500</v>
      </c>
      <c r="C81" s="307">
        <v>3000</v>
      </c>
      <c r="D81" s="306">
        <v>0</v>
      </c>
      <c r="E81" s="307">
        <v>0</v>
      </c>
      <c r="F81" s="415">
        <v>0</v>
      </c>
      <c r="G81" s="132"/>
      <c r="H81" s="132"/>
    </row>
    <row r="82" spans="1:8" ht="15" customHeight="1">
      <c r="A82" s="123" t="s">
        <v>592</v>
      </c>
      <c r="B82" s="434">
        <v>1230</v>
      </c>
      <c r="C82" s="307">
        <v>1310</v>
      </c>
      <c r="D82" s="306">
        <v>1340</v>
      </c>
      <c r="E82" s="307">
        <v>1350</v>
      </c>
      <c r="F82" s="415">
        <v>1370</v>
      </c>
      <c r="G82" s="132"/>
      <c r="H82" s="132"/>
    </row>
    <row r="83" spans="1:8" ht="15" customHeight="1">
      <c r="A83" s="123" t="s">
        <v>591</v>
      </c>
      <c r="B83" s="434">
        <v>186300</v>
      </c>
      <c r="C83" s="307">
        <f>B83*1.1</f>
        <v>204930.00000000003</v>
      </c>
      <c r="D83" s="307">
        <f t="shared" ref="D83:F83" si="22">C83*1.1</f>
        <v>225423.00000000006</v>
      </c>
      <c r="E83" s="307">
        <f t="shared" si="22"/>
        <v>247965.30000000008</v>
      </c>
      <c r="F83" s="307">
        <f t="shared" si="22"/>
        <v>272761.83000000013</v>
      </c>
      <c r="G83" s="132"/>
      <c r="H83" s="132"/>
    </row>
    <row r="84" spans="1:8" ht="15" customHeight="1">
      <c r="A84" s="123" t="s">
        <v>15</v>
      </c>
      <c r="B84" s="434">
        <v>3600</v>
      </c>
      <c r="C84" s="307">
        <v>3700</v>
      </c>
      <c r="D84" s="306">
        <v>3860</v>
      </c>
      <c r="E84" s="307">
        <v>3950</v>
      </c>
      <c r="F84" s="415">
        <v>4080</v>
      </c>
      <c r="G84" s="132"/>
      <c r="H84" s="132"/>
    </row>
    <row r="85" spans="1:8" ht="15" customHeight="1">
      <c r="A85" s="123" t="s">
        <v>16</v>
      </c>
      <c r="B85" s="434">
        <v>920</v>
      </c>
      <c r="C85" s="307">
        <v>950</v>
      </c>
      <c r="D85" s="306">
        <v>970</v>
      </c>
      <c r="E85" s="307">
        <v>990</v>
      </c>
      <c r="F85" s="415">
        <v>1030</v>
      </c>
      <c r="G85" s="132"/>
      <c r="H85" s="132"/>
    </row>
    <row r="86" spans="1:8" ht="15" customHeight="1">
      <c r="A86" s="123" t="s">
        <v>596</v>
      </c>
      <c r="B86" s="434">
        <v>48600</v>
      </c>
      <c r="C86" s="307">
        <f>B86*1.1</f>
        <v>53460.000000000007</v>
      </c>
      <c r="D86" s="307">
        <f t="shared" ref="D86:F86" si="23">C86*1.1</f>
        <v>58806.000000000015</v>
      </c>
      <c r="E86" s="307">
        <f t="shared" si="23"/>
        <v>64686.60000000002</v>
      </c>
      <c r="F86" s="307">
        <f t="shared" si="23"/>
        <v>71155.260000000024</v>
      </c>
      <c r="G86" s="132"/>
      <c r="H86" s="132"/>
    </row>
    <row r="87" spans="1:8" ht="15" customHeight="1">
      <c r="A87" s="123" t="s">
        <v>17</v>
      </c>
      <c r="B87" s="434">
        <v>3230</v>
      </c>
      <c r="C87" s="307">
        <v>3460</v>
      </c>
      <c r="D87" s="306">
        <v>3680</v>
      </c>
      <c r="E87" s="307">
        <v>3760</v>
      </c>
      <c r="F87" s="415">
        <v>3920</v>
      </c>
      <c r="G87" s="132"/>
      <c r="H87" s="132"/>
    </row>
    <row r="88" spans="1:8" ht="15.75" customHeight="1">
      <c r="A88" s="123" t="s">
        <v>29</v>
      </c>
      <c r="B88" s="434">
        <v>1500</v>
      </c>
      <c r="C88" s="307">
        <v>1800</v>
      </c>
      <c r="D88" s="306">
        <v>2200</v>
      </c>
      <c r="E88" s="307">
        <v>2500</v>
      </c>
      <c r="F88" s="415">
        <v>2500</v>
      </c>
      <c r="G88" s="132"/>
      <c r="H88" s="132"/>
    </row>
    <row r="89" spans="1:8">
      <c r="A89" s="123" t="s">
        <v>18</v>
      </c>
      <c r="B89" s="434">
        <v>12300</v>
      </c>
      <c r="C89" s="307">
        <f>B89*1.015</f>
        <v>12484.499999999998</v>
      </c>
      <c r="D89" s="307">
        <f t="shared" ref="D89:F89" si="24">C89*1.015</f>
        <v>12671.767499999996</v>
      </c>
      <c r="E89" s="307">
        <f t="shared" si="24"/>
        <v>12861.844012499994</v>
      </c>
      <c r="F89" s="307">
        <f t="shared" si="24"/>
        <v>13054.771672687493</v>
      </c>
    </row>
    <row r="90" spans="1:8">
      <c r="A90" s="123" t="s">
        <v>412</v>
      </c>
      <c r="B90" s="434">
        <v>10800</v>
      </c>
      <c r="C90" s="307">
        <f>B90*1.05</f>
        <v>11340</v>
      </c>
      <c r="D90" s="307">
        <f t="shared" ref="D90:F90" si="25">C90*1.05</f>
        <v>11907</v>
      </c>
      <c r="E90" s="307">
        <f t="shared" si="25"/>
        <v>12502.35</v>
      </c>
      <c r="F90" s="307">
        <f t="shared" si="25"/>
        <v>13127.467500000001</v>
      </c>
    </row>
    <row r="91" spans="1:8">
      <c r="A91" s="123" t="s">
        <v>411</v>
      </c>
      <c r="B91" s="434">
        <v>2290</v>
      </c>
      <c r="C91" s="434">
        <f>B91*1.05</f>
        <v>2404.5</v>
      </c>
      <c r="D91" s="434">
        <f t="shared" ref="D91:F91" si="26">C91*1.05</f>
        <v>2524.7249999999999</v>
      </c>
      <c r="E91" s="434">
        <f t="shared" si="26"/>
        <v>2650.9612499999998</v>
      </c>
      <c r="F91" s="434">
        <f t="shared" si="26"/>
        <v>2783.5093124999999</v>
      </c>
    </row>
    <row r="92" spans="1:8">
      <c r="A92" s="123" t="s">
        <v>28</v>
      </c>
      <c r="B92" s="435">
        <v>1900</v>
      </c>
      <c r="C92" s="436">
        <v>2100</v>
      </c>
      <c r="D92" s="437">
        <v>2110</v>
      </c>
      <c r="E92" s="436">
        <v>2130</v>
      </c>
      <c r="F92" s="417">
        <v>2150</v>
      </c>
      <c r="G92" s="65" t="s">
        <v>87</v>
      </c>
    </row>
    <row r="93" spans="1:8">
      <c r="A93" s="74" t="s">
        <v>30</v>
      </c>
    </row>
    <row r="94" spans="1:8">
      <c r="A94" s="308" t="s">
        <v>228</v>
      </c>
      <c r="B94" s="306"/>
      <c r="C94" s="307"/>
      <c r="D94" s="306"/>
      <c r="E94" s="307"/>
      <c r="F94" s="306"/>
      <c r="G94" s="65" t="s">
        <v>227</v>
      </c>
    </row>
    <row r="95" spans="1:8">
      <c r="A95" s="308" t="s">
        <v>229</v>
      </c>
      <c r="B95" s="306"/>
      <c r="C95" s="307"/>
      <c r="D95" s="309"/>
      <c r="E95" s="309"/>
      <c r="F95" s="307"/>
      <c r="G95" s="65" t="s">
        <v>227</v>
      </c>
    </row>
    <row r="96" spans="1:8">
      <c r="A96" s="308" t="s">
        <v>230</v>
      </c>
      <c r="B96" s="306"/>
      <c r="C96" s="307"/>
      <c r="D96" s="309"/>
      <c r="E96" s="309"/>
      <c r="F96" s="307"/>
      <c r="G96" s="65" t="s">
        <v>227</v>
      </c>
    </row>
    <row r="97" spans="1:9" ht="6" customHeight="1" thickBot="1"/>
    <row r="98" spans="1:9" ht="15" thickBot="1">
      <c r="A98" s="8" t="s">
        <v>31</v>
      </c>
      <c r="B98" s="343">
        <f>SUM(B78:B96)</f>
        <v>397648</v>
      </c>
      <c r="C98" s="343">
        <f>SUM(C78:C96)</f>
        <v>435618</v>
      </c>
      <c r="D98" s="343">
        <f>SUM(D78:D96)</f>
        <v>473592.59250000009</v>
      </c>
      <c r="E98" s="343">
        <f>SUM(E78:E96)</f>
        <v>518210.36526250013</v>
      </c>
      <c r="F98" s="343">
        <f>SUM(F78:F96)</f>
        <v>567035.67948518775</v>
      </c>
    </row>
    <row r="99" spans="1:9"/>
    <row r="100" spans="1:9" ht="18">
      <c r="A100" s="232" t="s">
        <v>254</v>
      </c>
    </row>
    <row r="101" spans="1:9">
      <c r="A101" s="4" t="s">
        <v>36</v>
      </c>
    </row>
    <row r="102" spans="1:9"/>
    <row r="103" spans="1:9" ht="28.8">
      <c r="A103" s="215" t="s">
        <v>269</v>
      </c>
      <c r="B103" s="440" t="s">
        <v>384</v>
      </c>
      <c r="C103" s="441" t="s">
        <v>257</v>
      </c>
      <c r="D103" s="442" t="s">
        <v>37</v>
      </c>
      <c r="F103" s="114"/>
      <c r="G103" s="11"/>
      <c r="H103" s="11"/>
      <c r="I103" s="11"/>
    </row>
    <row r="104" spans="1:9">
      <c r="A104" s="10" t="s">
        <v>179</v>
      </c>
      <c r="B104" s="438">
        <v>22</v>
      </c>
      <c r="C104" s="413">
        <v>5360</v>
      </c>
      <c r="D104" s="443">
        <f>B104*C104</f>
        <v>117920</v>
      </c>
      <c r="F104" s="139"/>
      <c r="G104" s="400"/>
      <c r="H104" s="401"/>
      <c r="I104" s="402"/>
    </row>
    <row r="105" spans="1:9">
      <c r="A105" s="10" t="s">
        <v>180</v>
      </c>
      <c r="B105" s="438">
        <v>22</v>
      </c>
      <c r="C105" s="413">
        <v>5360</v>
      </c>
      <c r="D105" s="443">
        <f t="shared" ref="D105:D115" si="27">B105*C105</f>
        <v>117920</v>
      </c>
      <c r="F105" s="139"/>
      <c r="G105" s="400"/>
      <c r="H105" s="401"/>
      <c r="I105" s="402">
        <f t="shared" ref="I105:I115" si="28">G105*H105</f>
        <v>0</v>
      </c>
    </row>
    <row r="106" spans="1:9">
      <c r="A106" s="10" t="s">
        <v>181</v>
      </c>
      <c r="B106" s="438">
        <v>22</v>
      </c>
      <c r="C106" s="413">
        <v>5360</v>
      </c>
      <c r="D106" s="443">
        <f t="shared" si="27"/>
        <v>117920</v>
      </c>
      <c r="F106" s="139"/>
      <c r="G106" s="400"/>
      <c r="H106" s="401"/>
      <c r="I106" s="402">
        <f t="shared" si="28"/>
        <v>0</v>
      </c>
    </row>
    <row r="107" spans="1:9">
      <c r="A107" s="10" t="s">
        <v>184</v>
      </c>
      <c r="B107" s="438">
        <v>22</v>
      </c>
      <c r="C107" s="413">
        <v>5360</v>
      </c>
      <c r="D107" s="443">
        <f t="shared" si="27"/>
        <v>117920</v>
      </c>
      <c r="F107" s="139"/>
      <c r="G107" s="400"/>
      <c r="H107" s="401"/>
      <c r="I107" s="402">
        <f t="shared" si="28"/>
        <v>0</v>
      </c>
    </row>
    <row r="108" spans="1:9">
      <c r="A108" s="10" t="s">
        <v>186</v>
      </c>
      <c r="B108" s="438">
        <v>22</v>
      </c>
      <c r="C108" s="413">
        <v>5360</v>
      </c>
      <c r="D108" s="443">
        <f t="shared" si="27"/>
        <v>117920</v>
      </c>
      <c r="F108" s="139"/>
      <c r="G108" s="400"/>
      <c r="H108" s="401"/>
      <c r="I108" s="402">
        <f t="shared" si="28"/>
        <v>0</v>
      </c>
    </row>
    <row r="109" spans="1:9">
      <c r="A109" s="10" t="s">
        <v>187</v>
      </c>
      <c r="B109" s="438">
        <v>22</v>
      </c>
      <c r="C109" s="413">
        <v>5360</v>
      </c>
      <c r="D109" s="443">
        <f t="shared" si="27"/>
        <v>117920</v>
      </c>
      <c r="F109" s="139"/>
      <c r="G109" s="400"/>
      <c r="H109" s="401"/>
      <c r="I109" s="402">
        <f t="shared" si="28"/>
        <v>0</v>
      </c>
    </row>
    <row r="110" spans="1:9">
      <c r="A110" s="10" t="s">
        <v>188</v>
      </c>
      <c r="B110" s="438">
        <v>22</v>
      </c>
      <c r="C110" s="413">
        <v>5360</v>
      </c>
      <c r="D110" s="443">
        <f t="shared" si="27"/>
        <v>117920</v>
      </c>
      <c r="F110" s="139"/>
      <c r="G110" s="400"/>
      <c r="H110" s="401"/>
      <c r="I110" s="402">
        <f t="shared" si="28"/>
        <v>0</v>
      </c>
    </row>
    <row r="111" spans="1:9">
      <c r="A111" s="10" t="s">
        <v>189</v>
      </c>
      <c r="B111" s="438">
        <v>22</v>
      </c>
      <c r="C111" s="413">
        <v>5360</v>
      </c>
      <c r="D111" s="443">
        <f t="shared" si="27"/>
        <v>117920</v>
      </c>
      <c r="F111" s="139"/>
      <c r="G111" s="400"/>
      <c r="H111" s="401"/>
      <c r="I111" s="402">
        <f t="shared" si="28"/>
        <v>0</v>
      </c>
    </row>
    <row r="112" spans="1:9">
      <c r="A112" s="10" t="s">
        <v>190</v>
      </c>
      <c r="B112" s="438">
        <v>22</v>
      </c>
      <c r="C112" s="413">
        <v>5360</v>
      </c>
      <c r="D112" s="443">
        <f t="shared" si="27"/>
        <v>117920</v>
      </c>
      <c r="F112" s="139"/>
      <c r="G112" s="400"/>
      <c r="H112" s="401"/>
      <c r="I112" s="402">
        <f t="shared" si="28"/>
        <v>0</v>
      </c>
    </row>
    <row r="113" spans="1:9">
      <c r="A113" s="10" t="s">
        <v>191</v>
      </c>
      <c r="B113" s="438">
        <v>22</v>
      </c>
      <c r="C113" s="413">
        <v>5360</v>
      </c>
      <c r="D113" s="443">
        <f t="shared" si="27"/>
        <v>117920</v>
      </c>
      <c r="F113" s="139"/>
      <c r="G113" s="400"/>
      <c r="H113" s="401"/>
      <c r="I113" s="402">
        <f t="shared" si="28"/>
        <v>0</v>
      </c>
    </row>
    <row r="114" spans="1:9">
      <c r="A114" s="10" t="s">
        <v>192</v>
      </c>
      <c r="B114" s="438">
        <v>22</v>
      </c>
      <c r="C114" s="413">
        <v>5360</v>
      </c>
      <c r="D114" s="443">
        <f t="shared" si="27"/>
        <v>117920</v>
      </c>
      <c r="F114" s="139"/>
      <c r="G114" s="400"/>
      <c r="H114" s="401"/>
      <c r="I114" s="402">
        <f t="shared" si="28"/>
        <v>0</v>
      </c>
    </row>
    <row r="115" spans="1:9" ht="15" thickBot="1">
      <c r="A115" s="10" t="s">
        <v>193</v>
      </c>
      <c r="B115" s="438">
        <v>22</v>
      </c>
      <c r="C115" s="413">
        <v>5360</v>
      </c>
      <c r="D115" s="443">
        <f t="shared" si="27"/>
        <v>117920</v>
      </c>
      <c r="F115" s="139"/>
      <c r="G115" s="400"/>
      <c r="H115" s="401"/>
      <c r="I115" s="402">
        <f t="shared" si="28"/>
        <v>0</v>
      </c>
    </row>
    <row r="116" spans="1:9" ht="15" thickBot="1">
      <c r="A116" s="12" t="s">
        <v>31</v>
      </c>
      <c r="B116" s="76">
        <f>SUM(B104:B115)</f>
        <v>264</v>
      </c>
      <c r="C116" s="331"/>
      <c r="D116" s="439">
        <f>SUM(D104:D115)</f>
        <v>1415040</v>
      </c>
      <c r="F116" s="115" t="s">
        <v>31</v>
      </c>
      <c r="I116" s="403">
        <v>0</v>
      </c>
    </row>
    <row r="117" spans="1:9">
      <c r="F117" s="24"/>
    </row>
    <row r="118" spans="1:9" ht="15.6">
      <c r="A118" s="2" t="s">
        <v>38</v>
      </c>
      <c r="D118" s="310">
        <v>0.1</v>
      </c>
      <c r="F118" s="116"/>
      <c r="I118" s="404">
        <v>0.1</v>
      </c>
    </row>
    <row r="119" spans="1:9" ht="15.6">
      <c r="A119" s="2" t="s">
        <v>39</v>
      </c>
      <c r="D119" s="311">
        <v>0.1</v>
      </c>
      <c r="F119" s="116"/>
      <c r="I119" s="404">
        <v>0.1</v>
      </c>
    </row>
    <row r="120" spans="1:9" ht="15.6">
      <c r="A120" s="2" t="s">
        <v>236</v>
      </c>
      <c r="D120" s="311">
        <v>0.1</v>
      </c>
      <c r="F120" s="116"/>
      <c r="I120" s="404">
        <v>0.1</v>
      </c>
    </row>
    <row r="121" spans="1:9" ht="15.6">
      <c r="A121" s="2" t="s">
        <v>237</v>
      </c>
      <c r="D121" s="312">
        <v>0.1</v>
      </c>
      <c r="F121" s="116"/>
      <c r="I121" s="404">
        <v>0.1</v>
      </c>
    </row>
    <row r="122" spans="1:9" ht="15.6">
      <c r="A122" s="2" t="s">
        <v>276</v>
      </c>
    </row>
    <row r="123" spans="1:9" ht="18">
      <c r="A123" s="232" t="s">
        <v>43</v>
      </c>
    </row>
    <row r="124" spans="1:9" ht="47.25" customHeight="1">
      <c r="A124" s="582" t="s">
        <v>268</v>
      </c>
      <c r="B124" s="582"/>
      <c r="C124" s="582"/>
      <c r="D124" s="582"/>
    </row>
    <row r="125" spans="1:9"/>
    <row r="126" spans="1:9" ht="15.6">
      <c r="A126" s="16"/>
      <c r="D126" s="235"/>
      <c r="E126" s="94"/>
    </row>
    <row r="127" spans="1:9"/>
    <row r="128" spans="1:9" ht="18">
      <c r="A128" s="232" t="s">
        <v>46</v>
      </c>
    </row>
    <row r="129" spans="1:13" ht="18.75" customHeight="1">
      <c r="A129" s="13"/>
      <c r="G129" s="137"/>
      <c r="H129" s="137"/>
    </row>
    <row r="130" spans="1:13" ht="14.25" customHeight="1">
      <c r="B130" s="97"/>
      <c r="C130" s="97" t="s">
        <v>216</v>
      </c>
      <c r="D130" s="313">
        <v>30</v>
      </c>
      <c r="E130" s="94" t="s">
        <v>218</v>
      </c>
      <c r="G130" s="137"/>
      <c r="H130" s="137"/>
    </row>
    <row r="131" spans="1:13" ht="15.75" customHeight="1">
      <c r="A131" s="17"/>
      <c r="C131" s="97" t="s">
        <v>217</v>
      </c>
      <c r="D131" s="313">
        <v>60</v>
      </c>
      <c r="E131" s="94" t="s">
        <v>219</v>
      </c>
      <c r="G131" s="137"/>
      <c r="H131" s="137"/>
    </row>
    <row r="132" spans="1:13" ht="15" customHeight="1">
      <c r="G132" s="137"/>
      <c r="H132" s="137"/>
    </row>
    <row r="133" spans="1:13" ht="18.75" customHeight="1">
      <c r="A133" s="232" t="s">
        <v>63</v>
      </c>
      <c r="G133" s="137"/>
      <c r="H133" s="137"/>
    </row>
    <row r="134" spans="1:13" ht="15" customHeight="1">
      <c r="G134" s="137"/>
      <c r="H134" s="137"/>
    </row>
    <row r="135" spans="1:13" ht="15" customHeight="1">
      <c r="B135" s="9" t="s">
        <v>25</v>
      </c>
      <c r="C135" s="9" t="s">
        <v>26</v>
      </c>
      <c r="D135" s="9" t="s">
        <v>27</v>
      </c>
      <c r="E135" s="9" t="s">
        <v>73</v>
      </c>
      <c r="F135" s="9" t="s">
        <v>74</v>
      </c>
      <c r="G135" s="137"/>
      <c r="H135" s="137"/>
    </row>
    <row r="136" spans="1:13" ht="15" customHeight="1">
      <c r="A136" t="s">
        <v>13</v>
      </c>
      <c r="B136" s="306">
        <f>'Charges de personnel '!G24</f>
        <v>222184</v>
      </c>
      <c r="C136" s="307">
        <f>'Charges de personnel '!H24</f>
        <v>255511.59999999998</v>
      </c>
      <c r="D136" s="309">
        <f>'Charges de personnel '!I24</f>
        <v>281062.76</v>
      </c>
      <c r="E136" s="309">
        <f>'Charges de personnel '!J24</f>
        <v>309169.03600000002</v>
      </c>
      <c r="F136" s="309">
        <f>'Charges de personnel '!K24</f>
        <v>340085.93960000004</v>
      </c>
      <c r="G136" s="117" t="s">
        <v>203</v>
      </c>
      <c r="H136" s="137"/>
    </row>
    <row r="137" spans="1:13" ht="15" customHeight="1">
      <c r="A137" t="s">
        <v>213</v>
      </c>
      <c r="B137" s="306">
        <v>50000</v>
      </c>
      <c r="C137" s="307">
        <v>60000</v>
      </c>
      <c r="D137" s="309">
        <v>70000</v>
      </c>
      <c r="E137" s="309">
        <v>85000</v>
      </c>
      <c r="F137" s="309">
        <v>90000</v>
      </c>
      <c r="G137" s="117" t="s">
        <v>203</v>
      </c>
      <c r="H137" s="137"/>
    </row>
    <row r="138" spans="1:13" ht="15" customHeight="1">
      <c r="G138" s="137"/>
      <c r="H138" s="137"/>
    </row>
    <row r="139" spans="1:13" ht="15.75" customHeight="1">
      <c r="A139" s="17"/>
      <c r="D139" s="3"/>
    </row>
    <row r="140" spans="1:13" ht="15.9" customHeight="1">
      <c r="C140" s="9" t="s">
        <v>26</v>
      </c>
      <c r="G140" s="134"/>
      <c r="H140" s="135"/>
    </row>
    <row r="141" spans="1:13" ht="14.25" hidden="1" customHeight="1">
      <c r="A141" s="1" t="s">
        <v>252</v>
      </c>
      <c r="B141" s="9" t="s">
        <v>25</v>
      </c>
      <c r="C141" s="56">
        <f>C136*0.72</f>
        <v>183968.35199999998</v>
      </c>
      <c r="D141" s="9" t="s">
        <v>27</v>
      </c>
      <c r="E141" s="9" t="s">
        <v>73</v>
      </c>
      <c r="F141" s="9" t="s">
        <v>74</v>
      </c>
      <c r="H141" s="1" t="s">
        <v>253</v>
      </c>
      <c r="I141" s="212" t="s">
        <v>25</v>
      </c>
      <c r="J141" s="212" t="s">
        <v>26</v>
      </c>
      <c r="K141" s="9" t="s">
        <v>27</v>
      </c>
      <c r="L141" s="212" t="s">
        <v>73</v>
      </c>
      <c r="M141" s="9" t="s">
        <v>74</v>
      </c>
    </row>
    <row r="142" spans="1:13" ht="14.25" hidden="1" customHeight="1">
      <c r="A142" t="s">
        <v>70</v>
      </c>
      <c r="B142" s="56">
        <f>B136*0.72</f>
        <v>159972.47999999998</v>
      </c>
      <c r="C142" s="55">
        <f>+'Plan financier à imprimer'!AH11*12.8%</f>
        <v>199237.63200000001</v>
      </c>
      <c r="D142" s="56">
        <f>D136*0.72</f>
        <v>202365.18719999999</v>
      </c>
      <c r="E142" s="56">
        <f t="shared" ref="E142:F142" si="29">E136*0.72</f>
        <v>222601.70592000001</v>
      </c>
      <c r="F142" s="56">
        <f t="shared" si="29"/>
        <v>244861.87651200002</v>
      </c>
      <c r="H142" t="s">
        <v>70</v>
      </c>
      <c r="I142" s="216">
        <f>B136*0.72</f>
        <v>159972.47999999998</v>
      </c>
      <c r="J142" s="217">
        <f>C136*0.72</f>
        <v>183968.35199999998</v>
      </c>
      <c r="K142" s="56">
        <f>D136*0.72</f>
        <v>202365.18719999999</v>
      </c>
      <c r="L142" s="56">
        <f t="shared" ref="L142:M142" si="30">E136*0.72</f>
        <v>222601.70592000001</v>
      </c>
      <c r="M142" s="56">
        <f t="shared" si="30"/>
        <v>244861.87651200002</v>
      </c>
    </row>
    <row r="143" spans="1:13" ht="14.25" hidden="1" customHeight="1">
      <c r="A143" t="s">
        <v>1</v>
      </c>
      <c r="B143" s="55">
        <f>+'Plan financier à imprimer'!AG11*12.8%</f>
        <v>181125.12</v>
      </c>
      <c r="C143" s="55">
        <f>+'Plan financier à imprimer'!AH12*22%</f>
        <v>0</v>
      </c>
      <c r="D143" s="55">
        <f>+'Plan financier à imprimer'!AI11*12.8%</f>
        <v>219161.3952</v>
      </c>
      <c r="E143" s="55">
        <f>+'Plan financier à imprimer'!AJ11*12.8%</f>
        <v>241077.53472</v>
      </c>
      <c r="F143" s="55">
        <f>+'Plan financier à imprimer'!AK11*12.8%</f>
        <v>265185.28819200001</v>
      </c>
      <c r="G143" s="68" t="s">
        <v>249</v>
      </c>
      <c r="H143" t="s">
        <v>1</v>
      </c>
      <c r="I143" s="136">
        <f>+'Plan financier à imprimer'!AG11*6.4%</f>
        <v>90562.559999999998</v>
      </c>
      <c r="J143" s="136">
        <f>+'Plan financier à imprimer'!AH11*12.8%</f>
        <v>199237.63200000001</v>
      </c>
      <c r="K143" s="136">
        <f>+'Plan financier à imprimer'!AI11*12.8%</f>
        <v>219161.3952</v>
      </c>
      <c r="L143" s="55">
        <f>+'Plan financier à imprimer'!AJ11*12.8%</f>
        <v>241077.53472</v>
      </c>
      <c r="M143" s="55">
        <f>+'Plan financier à imprimer'!AK11*12.8%</f>
        <v>265185.28819200001</v>
      </c>
    </row>
    <row r="144" spans="1:13" ht="14.25" hidden="1" customHeight="1">
      <c r="A144" t="s">
        <v>1</v>
      </c>
      <c r="B144" s="55">
        <f>+'Plan financier à imprimer'!AG12*22%</f>
        <v>0</v>
      </c>
      <c r="C144" s="55">
        <f>IF('Plan financier à imprimer'!AH52*30%&lt;3456,3456,'Plan financier à imprimer'!AH52*30%)</f>
        <v>203784.72099999999</v>
      </c>
      <c r="D144" s="55">
        <f>+'Plan financier à imprimer'!AI12*22%</f>
        <v>0</v>
      </c>
      <c r="E144" s="55">
        <f>+'Plan financier à imprimer'!AJ12*22%</f>
        <v>0</v>
      </c>
      <c r="F144" s="55">
        <f>+'Plan financier à imprimer'!AK12*22%</f>
        <v>0</v>
      </c>
      <c r="G144" s="68" t="s">
        <v>105</v>
      </c>
      <c r="H144" t="s">
        <v>1</v>
      </c>
      <c r="I144" s="136">
        <f>+'Plan financier à imprimer'!AG12*11%</f>
        <v>0</v>
      </c>
      <c r="J144" s="136">
        <f>+'Plan financier à imprimer'!AH12*22%</f>
        <v>0</v>
      </c>
      <c r="K144" s="136">
        <f>+'Plan financier à imprimer'!AI12*22%</f>
        <v>0</v>
      </c>
      <c r="L144" s="218">
        <f>+'Plan financier à imprimer'!AJ12*22%</f>
        <v>0</v>
      </c>
      <c r="M144" s="218">
        <f>+'Plan financier à imprimer'!AK12*22%</f>
        <v>0</v>
      </c>
    </row>
    <row r="145" spans="1:13" ht="14.25" hidden="1" customHeight="1">
      <c r="A145" t="s">
        <v>90</v>
      </c>
      <c r="B145" s="55">
        <f>IF('Plan financier à imprimer'!AG52*30%&lt;3456,3456,'Plan financier à imprimer'!AG52*30%)</f>
        <v>187086.83900000001</v>
      </c>
      <c r="C145" s="55">
        <f>IF(C137*45%&lt;3456,3456,C137*45%)</f>
        <v>27000</v>
      </c>
      <c r="D145" s="55">
        <f>IF('Plan financier à imprimer'!AI52*30%&lt;3456,3456,'Plan financier à imprimer'!AI52*30%)</f>
        <v>227966.53924999991</v>
      </c>
      <c r="E145" s="55" t="e">
        <f>IF('Plan financier à imprimer'!AJ52*30%&lt;3456,3456,'Plan financier à imprimer'!AJ52*30%)</f>
        <v>#REF!</v>
      </c>
      <c r="F145" s="55" t="e">
        <f>IF('Plan financier à imprimer'!AK52*30%&lt;3456,3456,'Plan financier à imprimer'!AK52*30%)</f>
        <v>#REF!</v>
      </c>
      <c r="H145" t="s">
        <v>90</v>
      </c>
      <c r="I145" s="136">
        <v>1305</v>
      </c>
      <c r="J145" s="219">
        <f>IF('Plan financier à imprimer'!AH52*32%&lt;1202,1202,'Plan financier à imprimer'!AH52*32%)</f>
        <v>217370.36906666667</v>
      </c>
      <c r="K145" s="48">
        <f>IF('Plan financier à imprimer'!AI52*32%&lt;1202,1202,'Plan financier à imprimer'!AI52*32%)</f>
        <v>243164.30853333324</v>
      </c>
      <c r="L145" s="48" t="e">
        <f>IF('Plan financier à imprimer'!AJ52*32%&lt;1202,1202,'Plan financier à imprimer'!AJ52*32%)</f>
        <v>#REF!</v>
      </c>
      <c r="M145" s="48" t="e">
        <f>IF('Plan financier à imprimer'!AK52*32%&lt;1202,1202,'Plan financier à imprimer'!AK52*32%)</f>
        <v>#REF!</v>
      </c>
    </row>
    <row r="146" spans="1:13" ht="14.25" hidden="1" customHeight="1">
      <c r="A146" t="s">
        <v>89</v>
      </c>
      <c r="B146" s="55">
        <f>IF(B137*45%&lt;3456,3456,B137*45%)</f>
        <v>22500</v>
      </c>
      <c r="C146" s="55">
        <f>IF(C137*45%&lt;3456,3456,C137*45%)</f>
        <v>27000</v>
      </c>
      <c r="D146" s="55">
        <f>IF(D137*45%&lt;3456,3456,D137*45%)</f>
        <v>31500</v>
      </c>
      <c r="E146" s="55">
        <f>IF(E137*45%&lt;3456,3456,E137*45%)</f>
        <v>38250</v>
      </c>
      <c r="F146" s="55">
        <f>IF(F137*45%&lt;3456,3456,F137*45%)</f>
        <v>40500</v>
      </c>
      <c r="H146" t="s">
        <v>89</v>
      </c>
      <c r="I146" s="136">
        <v>1305</v>
      </c>
      <c r="J146" s="219">
        <f>IF(C137*45%&lt;1202,1202,C137*45%)</f>
        <v>27000</v>
      </c>
      <c r="K146" s="48">
        <f>IF(D137*45%&lt;1202,1202,D137*45%)</f>
        <v>31500</v>
      </c>
      <c r="L146" s="48">
        <f t="shared" ref="L146:M146" si="31">IF(E137*45%&lt;1202,1202,E137*45%)</f>
        <v>38250</v>
      </c>
      <c r="M146" s="48">
        <f t="shared" si="31"/>
        <v>40500</v>
      </c>
    </row>
    <row r="147" spans="1:13" ht="14.25" hidden="1" customHeight="1">
      <c r="A147" t="s">
        <v>91</v>
      </c>
      <c r="B147" s="55">
        <f>IF(B137*45%&lt;3456,3456,B137*45%)</f>
        <v>22500</v>
      </c>
      <c r="C147" s="55">
        <f>C137*70%</f>
        <v>42000</v>
      </c>
      <c r="D147" s="55">
        <f>IF(D137*45%&lt;3456,3456,D137*45%)</f>
        <v>31500</v>
      </c>
      <c r="E147" s="55">
        <f>IF(E137*45%&lt;3456,3456,E137*45%)</f>
        <v>38250</v>
      </c>
      <c r="F147" s="55">
        <f>IF(F137*45%&lt;3456,3456,F137*45%)</f>
        <v>40500</v>
      </c>
      <c r="H147" t="s">
        <v>91</v>
      </c>
      <c r="I147" s="136">
        <v>1305</v>
      </c>
      <c r="J147" s="219">
        <f>IF(C137*45%&lt;1202,1202,C137*45%)</f>
        <v>27000</v>
      </c>
      <c r="K147" s="48">
        <f>IF(D137*45%&lt;1202,1202,D137*45%)</f>
        <v>31500</v>
      </c>
      <c r="L147" s="48">
        <f t="shared" ref="L147:M147" si="32">IF(E137*45%&lt;1202,1202,E137*45%)</f>
        <v>38250</v>
      </c>
      <c r="M147" s="48">
        <f t="shared" si="32"/>
        <v>40500</v>
      </c>
    </row>
    <row r="148" spans="1:13" ht="14.25" hidden="1" customHeight="1">
      <c r="A148" t="s">
        <v>92</v>
      </c>
      <c r="B148" s="55">
        <f>B137*70%</f>
        <v>35000</v>
      </c>
      <c r="C148" s="55">
        <f>C137*70%</f>
        <v>42000</v>
      </c>
      <c r="D148" s="55">
        <f t="shared" ref="D148" si="33">D137*70%</f>
        <v>49000</v>
      </c>
      <c r="E148" s="55">
        <f t="shared" ref="E148:F148" si="34">E137*70%</f>
        <v>59499.999999999993</v>
      </c>
      <c r="F148" s="55">
        <f t="shared" si="34"/>
        <v>62999.999999999993</v>
      </c>
      <c r="H148" t="s">
        <v>92</v>
      </c>
      <c r="I148" s="136">
        <f>B137*33%</f>
        <v>16500</v>
      </c>
      <c r="J148" s="218">
        <f>C137*70%</f>
        <v>42000</v>
      </c>
      <c r="K148" s="218">
        <f>D137*70%</f>
        <v>49000</v>
      </c>
      <c r="L148" s="218">
        <f t="shared" ref="L148:M148" si="35">E137*70%</f>
        <v>59499.999999999993</v>
      </c>
      <c r="M148" s="218">
        <f t="shared" si="35"/>
        <v>62999.999999999993</v>
      </c>
    </row>
    <row r="149" spans="1:13" ht="14.25" hidden="1" customHeight="1">
      <c r="A149" t="s">
        <v>93</v>
      </c>
      <c r="B149" s="55">
        <f>B137*70%</f>
        <v>35000</v>
      </c>
      <c r="C149" s="56">
        <f>SUMIF($A$143:$A$149,$B$9,C142:C148)</f>
        <v>27000</v>
      </c>
      <c r="D149" s="55">
        <f t="shared" ref="D149" si="36">D137*70%</f>
        <v>49000</v>
      </c>
      <c r="E149" s="55">
        <f t="shared" ref="E149:F149" si="37">E137*70%</f>
        <v>59499.999999999993</v>
      </c>
      <c r="F149" s="55">
        <f t="shared" si="37"/>
        <v>62999.999999999993</v>
      </c>
      <c r="H149" t="s">
        <v>93</v>
      </c>
      <c r="I149" s="136">
        <f>B137*33%</f>
        <v>16500</v>
      </c>
      <c r="J149" s="218">
        <f>C137*70%</f>
        <v>42000</v>
      </c>
      <c r="K149" s="218">
        <f>D137*70%</f>
        <v>49000</v>
      </c>
      <c r="L149" s="218">
        <f t="shared" ref="L149:M149" si="38">E137*70%</f>
        <v>59499.999999999993</v>
      </c>
      <c r="M149" s="218">
        <f t="shared" si="38"/>
        <v>62999.999999999993</v>
      </c>
    </row>
    <row r="150" spans="1:13" ht="14.25" hidden="1" customHeight="1">
      <c r="A150" s="1" t="s">
        <v>88</v>
      </c>
      <c r="B150" s="56">
        <f>SUMIF($A$143:$A$149,$B$9,B143:B149)</f>
        <v>22500</v>
      </c>
      <c r="C150" s="43"/>
      <c r="D150" s="56">
        <f>SUMIF($A$143:$A$149,$B$9,D143:D149)</f>
        <v>31500</v>
      </c>
      <c r="E150" s="56">
        <f t="shared" ref="E150:F150" si="39">SUMIF($A$143:$A$149,$B$9,E143:E149)</f>
        <v>38250</v>
      </c>
      <c r="F150" s="56">
        <f t="shared" si="39"/>
        <v>40500</v>
      </c>
      <c r="H150" s="1" t="s">
        <v>88</v>
      </c>
      <c r="I150" s="217">
        <f>SUMIF($A$143:$A$149,$B$9,I143:I149)</f>
        <v>1305</v>
      </c>
      <c r="J150" s="217">
        <f>SUMIF($A$143:$A$149,$B$9,J143:J149)</f>
        <v>27000</v>
      </c>
      <c r="K150" s="217">
        <f>SUMIF($A$143:$A$149,$B$9,K143:K149)</f>
        <v>31500</v>
      </c>
      <c r="L150" s="217">
        <f t="shared" ref="L150:M150" si="40">SUMIF($A$143:$A$149,$B$9,L143:L149)</f>
        <v>38250</v>
      </c>
      <c r="M150" s="217">
        <f t="shared" si="40"/>
        <v>40500</v>
      </c>
    </row>
    <row r="151" spans="1:13" ht="14.25" hidden="1" customHeight="1">
      <c r="B151" s="43"/>
      <c r="D151" s="43"/>
      <c r="G151" s="134"/>
      <c r="H151" s="135"/>
    </row>
    <row r="152" spans="1:13" ht="15.75" customHeight="1">
      <c r="A152" s="232" t="s">
        <v>61</v>
      </c>
      <c r="G152" s="137"/>
      <c r="H152" s="137"/>
    </row>
    <row r="153" spans="1:13" ht="15.75" customHeight="1" thickBot="1">
      <c r="D153" s="124" t="s">
        <v>214</v>
      </c>
      <c r="G153" s="137"/>
      <c r="H153" s="137"/>
    </row>
    <row r="154" spans="1:13" ht="16.5" customHeight="1" thickBot="1">
      <c r="A154" s="17" t="s">
        <v>44</v>
      </c>
      <c r="D154" s="14" t="str">
        <f>IF(ISERROR(+IF('Plan financier à imprimer'!BG20&gt;0,"Rentable","Non rentable")),"",+IF('Plan financier à imprimer'!BG20&gt;0,"Rentable","Non rentable"))</f>
        <v>Rentable</v>
      </c>
      <c r="E154" s="128" t="str">
        <f>IF(D154="Non rentable","  Veuillez améliorer vos chiffres !","")</f>
        <v/>
      </c>
      <c r="G154" s="137"/>
      <c r="H154" s="137"/>
    </row>
    <row r="155" spans="1:13" ht="15" customHeight="1">
      <c r="E155" s="99"/>
      <c r="G155" s="137"/>
      <c r="H155" s="137"/>
    </row>
    <row r="156" spans="1:13" ht="18.75" customHeight="1">
      <c r="A156" s="232" t="s">
        <v>62</v>
      </c>
      <c r="E156" s="99"/>
      <c r="G156" s="137"/>
      <c r="H156" s="137"/>
    </row>
    <row r="157" spans="1:13" ht="15.75" customHeight="1" thickBot="1">
      <c r="D157" s="124" t="s">
        <v>214</v>
      </c>
      <c r="E157" s="99"/>
      <c r="G157" s="137"/>
      <c r="H157" s="137"/>
    </row>
    <row r="158" spans="1:13" ht="16.5" customHeight="1" thickBot="1">
      <c r="A158" s="17" t="s">
        <v>45</v>
      </c>
      <c r="D158" s="14" t="str">
        <f>IF(ISERROR(IF('Plan financier à imprimer'!CP41&lt;0,"Trop faible","Adéquate")),"",+IF('Plan financier à imprimer'!CP41&lt;0,"Trop faible","Adéquate"))</f>
        <v>Adéquate</v>
      </c>
      <c r="E158" s="128" t="str">
        <f>IF(D158="Trop faible","  Prévoyez plus de trésorerie de départ !","")</f>
        <v/>
      </c>
      <c r="G158" s="137"/>
      <c r="H158" s="137"/>
    </row>
    <row r="159" spans="1:13" ht="16.5" customHeight="1">
      <c r="A159" s="17"/>
      <c r="D159" s="233"/>
      <c r="E159" s="128"/>
      <c r="G159" s="137"/>
      <c r="H159" s="137"/>
    </row>
    <row r="160" spans="1:13" ht="16.5" customHeight="1">
      <c r="D160" s="233"/>
      <c r="E160" s="128"/>
      <c r="G160" s="137"/>
      <c r="H160" s="137"/>
    </row>
    <row r="161" spans="1:8" ht="16.5" customHeight="1">
      <c r="D161" s="233"/>
      <c r="E161" s="128"/>
      <c r="G161" s="137"/>
      <c r="H161" s="137"/>
    </row>
    <row r="162" spans="1:8" ht="16.5" customHeight="1">
      <c r="D162" s="233"/>
      <c r="E162" s="128"/>
      <c r="G162" s="137"/>
      <c r="H162" s="137"/>
    </row>
    <row r="163" spans="1:8" ht="16.5" customHeight="1">
      <c r="D163" s="233"/>
      <c r="E163" s="128"/>
      <c r="G163" s="137"/>
      <c r="H163" s="137"/>
    </row>
    <row r="164" spans="1:8" ht="16.5" customHeight="1">
      <c r="D164" s="233"/>
      <c r="E164" s="128"/>
      <c r="G164" s="137"/>
      <c r="H164" s="137"/>
    </row>
    <row r="165" spans="1:8" ht="16.5" customHeight="1">
      <c r="A165" s="17"/>
      <c r="D165" s="233"/>
      <c r="E165" s="128"/>
      <c r="G165" s="137"/>
      <c r="H165" s="137"/>
    </row>
    <row r="166" spans="1:8" ht="16.5" customHeight="1">
      <c r="D166" s="233"/>
      <c r="E166" s="128"/>
      <c r="G166" s="137"/>
      <c r="H166" s="137"/>
    </row>
    <row r="167" spans="1:8" ht="16.5" customHeight="1">
      <c r="D167" s="233"/>
      <c r="E167" s="128"/>
      <c r="G167" s="137"/>
      <c r="H167" s="137"/>
    </row>
    <row r="168" spans="1:8" ht="16.5" customHeight="1">
      <c r="D168" s="233"/>
      <c r="E168" s="128"/>
      <c r="G168" s="137"/>
      <c r="H168" s="137"/>
    </row>
    <row r="169" spans="1:8" ht="16.5" customHeight="1">
      <c r="D169" s="233"/>
      <c r="E169" s="128"/>
      <c r="G169" s="137"/>
      <c r="H169" s="137"/>
    </row>
    <row r="170" spans="1:8" ht="16.5" customHeight="1">
      <c r="D170" s="233"/>
      <c r="E170" s="128"/>
      <c r="G170" s="137"/>
      <c r="H170" s="137"/>
    </row>
    <row r="171" spans="1:8" ht="16.5" customHeight="1">
      <c r="D171" s="233"/>
      <c r="E171" s="128"/>
      <c r="G171" s="137"/>
      <c r="H171" s="137"/>
    </row>
    <row r="172" spans="1:8" ht="16.5" customHeight="1">
      <c r="D172" s="233"/>
      <c r="E172" s="128"/>
      <c r="G172" s="137"/>
      <c r="H172" s="137"/>
    </row>
    <row r="173" spans="1:8" ht="16.5" customHeight="1">
      <c r="D173" s="233"/>
      <c r="E173" s="128"/>
      <c r="G173" s="137"/>
      <c r="H173" s="137"/>
    </row>
    <row r="174" spans="1:8" ht="16.5" customHeight="1">
      <c r="D174" s="233"/>
      <c r="E174" s="128"/>
      <c r="G174" s="137"/>
      <c r="H174" s="137"/>
    </row>
    <row r="175" spans="1:8" ht="16.5" customHeight="1">
      <c r="D175" s="233"/>
      <c r="E175" s="128"/>
      <c r="G175" s="137"/>
      <c r="H175" s="137"/>
    </row>
    <row r="176" spans="1:8" ht="16.5" customHeight="1">
      <c r="A176" s="17"/>
      <c r="C176" s="234"/>
      <c r="D176" s="233"/>
      <c r="E176" s="128"/>
      <c r="G176" s="137"/>
      <c r="H176" s="137"/>
    </row>
    <row r="177" spans="3:8" ht="16.5" customHeight="1">
      <c r="D177" s="233"/>
      <c r="E177" s="128"/>
      <c r="G177" s="137"/>
      <c r="H177" s="137"/>
    </row>
    <row r="178" spans="3:8" ht="16.5" customHeight="1">
      <c r="D178" s="233"/>
      <c r="E178" s="128"/>
      <c r="G178" s="137"/>
      <c r="H178" s="137"/>
    </row>
    <row r="179" spans="3:8" ht="16.5" customHeight="1">
      <c r="D179" s="233"/>
      <c r="E179" s="128"/>
      <c r="G179" s="137"/>
      <c r="H179" s="137"/>
    </row>
    <row r="180" spans="3:8" ht="16.5" customHeight="1">
      <c r="D180" s="233"/>
      <c r="E180" s="128"/>
      <c r="G180" s="137"/>
      <c r="H180" s="137"/>
    </row>
    <row r="181" spans="3:8" ht="16.5" customHeight="1">
      <c r="D181" s="233"/>
      <c r="E181" s="128"/>
      <c r="G181" s="137"/>
      <c r="H181" s="137"/>
    </row>
    <row r="182" spans="3:8" ht="16.5" customHeight="1">
      <c r="D182" s="233"/>
      <c r="E182" s="128"/>
      <c r="G182" s="137"/>
      <c r="H182" s="137"/>
    </row>
    <row r="183" spans="3:8" ht="16.5" customHeight="1">
      <c r="D183" s="233"/>
      <c r="E183" s="128"/>
      <c r="G183" s="137"/>
      <c r="H183" s="137"/>
    </row>
    <row r="184" spans="3:8" ht="16.5" customHeight="1">
      <c r="D184" s="233"/>
      <c r="E184" s="128"/>
      <c r="G184" s="137"/>
      <c r="H184" s="137"/>
    </row>
    <row r="185" spans="3:8" ht="16.5" customHeight="1">
      <c r="D185" s="233"/>
      <c r="E185" s="128"/>
      <c r="G185" s="137"/>
      <c r="H185" s="137"/>
    </row>
    <row r="186" spans="3:8" ht="16.5" customHeight="1">
      <c r="D186" s="233"/>
      <c r="E186" s="128"/>
      <c r="G186" s="137"/>
      <c r="H186" s="137"/>
    </row>
    <row r="187" spans="3:8" ht="16.5" customHeight="1">
      <c r="D187" s="233"/>
      <c r="E187" s="128"/>
      <c r="G187" s="137"/>
      <c r="H187" s="137"/>
    </row>
    <row r="188" spans="3:8" ht="16.5" customHeight="1">
      <c r="D188" s="233"/>
      <c r="E188" s="128"/>
      <c r="G188" s="137"/>
      <c r="H188" s="137"/>
    </row>
    <row r="189" spans="3:8" ht="16.5" customHeight="1">
      <c r="D189" s="233"/>
      <c r="E189" s="128"/>
      <c r="G189" s="137"/>
      <c r="H189" s="137"/>
    </row>
    <row r="190" spans="3:8" ht="16.5" customHeight="1">
      <c r="D190" s="233"/>
      <c r="E190" s="128"/>
      <c r="G190" s="137"/>
      <c r="H190" s="137"/>
    </row>
    <row r="191" spans="3:8" ht="16.5" customHeight="1">
      <c r="D191" s="233"/>
      <c r="E191" s="128"/>
      <c r="G191" s="137"/>
      <c r="H191" s="137"/>
    </row>
    <row r="192" spans="3:8" ht="15" customHeight="1">
      <c r="C192" s="236"/>
      <c r="E192" s="99"/>
      <c r="G192" s="137"/>
      <c r="H192" s="137"/>
    </row>
    <row r="193" spans="1:8" ht="36" customHeight="1">
      <c r="A193" s="138" t="s">
        <v>255</v>
      </c>
      <c r="G193" s="137"/>
      <c r="H193" s="137"/>
    </row>
    <row r="194" spans="1:8" ht="15.75" customHeight="1">
      <c r="G194" s="137"/>
      <c r="H194" s="137"/>
    </row>
    <row r="195" spans="1:8" ht="15.6">
      <c r="A195" s="133"/>
    </row>
    <row r="196" spans="1:8"/>
    <row r="197" spans="1:8"/>
  </sheetData>
  <sheetProtection formatCells="0" formatColumns="0" formatRows="0" insertColumns="0" insertRows="0" insertHyperlinks="0" deleteColumns="0" deleteRows="0" sort="0" autoFilter="0" pivotTables="0"/>
  <customSheetViews>
    <customSheetView guid="{B839855F-4AE2-4622-A0C0-EA9798C0F78E}" showGridLines="0" fitToPage="1" hiddenRows="1" hiddenColumns="1" topLeftCell="A16">
      <selection activeCell="A28" sqref="A28"/>
      <pageMargins left="0.70866141732283472" right="0.70866141732283472" top="0.74803149606299213" bottom="0.74803149606299213" header="0.31496062992125984" footer="0.31496062992125984"/>
      <pageSetup paperSize="9" scale="44" fitToHeight="2" orientation="portrait" r:id="rId1"/>
    </customSheetView>
  </customSheetViews>
  <mergeCells count="14">
    <mergeCell ref="A124:D124"/>
    <mergeCell ref="B14:D14"/>
    <mergeCell ref="B9:C9"/>
    <mergeCell ref="B12:C12"/>
    <mergeCell ref="B13:C13"/>
    <mergeCell ref="A16:G16"/>
    <mergeCell ref="A1:F1"/>
    <mergeCell ref="B7:C7"/>
    <mergeCell ref="B8:C8"/>
    <mergeCell ref="B10:C10"/>
    <mergeCell ref="B11:C11"/>
    <mergeCell ref="A2:D2"/>
    <mergeCell ref="A3:D3"/>
    <mergeCell ref="A5:D5"/>
  </mergeCells>
  <conditionalFormatting sqref="D154">
    <cfRule type="cellIs" dxfId="3" priority="3" operator="equal">
      <formula>"Non rentable"</formula>
    </cfRule>
    <cfRule type="containsText" dxfId="2" priority="4" operator="containsText" text="Rentable">
      <formula>NOT(ISERROR(SEARCH("Rentable",D154)))</formula>
    </cfRule>
  </conditionalFormatting>
  <conditionalFormatting sqref="D158:D191">
    <cfRule type="cellIs" dxfId="1" priority="1" operator="equal">
      <formula>"Trop faible"</formula>
    </cfRule>
    <cfRule type="cellIs" dxfId="0" priority="2" operator="equal">
      <formula>"Adéquate"</formula>
    </cfRule>
  </conditionalFormatting>
  <dataValidations count="4">
    <dataValidation type="date" allowBlank="1" showInputMessage="1" showErrorMessage="1" sqref="B13" xr:uid="{00000000-0002-0000-0000-000000000000}">
      <formula1>40179</formula1>
      <formula2>72686</formula2>
    </dataValidation>
    <dataValidation type="list" allowBlank="1" showInputMessage="1" showErrorMessage="1" sqref="B14:D14" xr:uid="{00000000-0002-0000-0000-000001000000}">
      <formula1>$L$3:$L$6</formula1>
    </dataValidation>
    <dataValidation type="decimal" allowBlank="1" showInputMessage="1" showErrorMessage="1" sqref="C62:C64" xr:uid="{00000000-0002-0000-0000-000002000000}">
      <formula1>0</formula1>
      <formula2>50</formula2>
    </dataValidation>
    <dataValidation type="list" allowBlank="1" showInputMessage="1" showErrorMessage="1" sqref="B9:C9" xr:uid="{00000000-0002-0000-0000-000003000000}">
      <formula1>$J$3:$J$9</formula1>
    </dataValidation>
  </dataValidations>
  <hyperlinks>
    <hyperlink ref="B11" r:id="rId2" xr:uid="{00000000-0004-0000-0000-000000000000}"/>
  </hyperlinks>
  <pageMargins left="0.70866141732283472" right="0.70866141732283472" top="0.74803149606299213" bottom="0.74803149606299213" header="0.31496062992125984" footer="0.31496062992125984"/>
  <pageSetup paperSize="9" scale="44" fitToHeight="2"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00B0F0"/>
  </sheetPr>
  <dimension ref="B1:CP55"/>
  <sheetViews>
    <sheetView showGridLines="0" tabSelected="1" topLeftCell="BJ1" zoomScale="90" zoomScaleNormal="90" workbookViewId="0">
      <selection activeCell="AG41" sqref="AG41"/>
    </sheetView>
  </sheetViews>
  <sheetFormatPr baseColWidth="10" defaultColWidth="11.5546875" defaultRowHeight="15" customHeight="1"/>
  <cols>
    <col min="1" max="1" width="2.88671875" customWidth="1"/>
    <col min="4" max="4" width="14.44140625" customWidth="1"/>
    <col min="5" max="5" width="13.5546875" customWidth="1"/>
    <col min="9" max="10" width="3.5546875" customWidth="1"/>
    <col min="11" max="15" width="11.44140625" customWidth="1"/>
    <col min="17" max="17" width="18" bestFit="1" customWidth="1"/>
    <col min="18" max="18" width="3" customWidth="1"/>
    <col min="19" max="19" width="3.5546875" customWidth="1"/>
    <col min="20" max="20" width="11.44140625" customWidth="1"/>
    <col min="21" max="21" width="8.88671875" customWidth="1"/>
    <col min="22" max="22" width="7.88671875" customWidth="1"/>
    <col min="23" max="23" width="3.6640625" customWidth="1"/>
    <col min="24" max="24" width="16.109375" customWidth="1"/>
    <col min="25" max="25" width="17.44140625" customWidth="1"/>
    <col min="26" max="26" width="15.33203125" customWidth="1"/>
    <col min="27" max="27" width="3" customWidth="1"/>
    <col min="28" max="28" width="3.5546875" customWidth="1"/>
    <col min="29" max="29" width="9.6640625" customWidth="1"/>
    <col min="30" max="30" width="8.5546875" customWidth="1"/>
    <col min="31" max="31" width="4.88671875" customWidth="1"/>
    <col min="32" max="32" width="2.44140625" customWidth="1"/>
    <col min="33" max="33" width="16.33203125" customWidth="1"/>
    <col min="34" max="34" width="17" customWidth="1"/>
    <col min="35" max="35" width="15.88671875" customWidth="1"/>
    <col min="36" max="36" width="18.44140625" customWidth="1"/>
    <col min="37" max="37" width="15.44140625" customWidth="1"/>
    <col min="38" max="38" width="3" customWidth="1"/>
    <col min="39" max="39" width="2.109375" customWidth="1"/>
    <col min="40" max="40" width="9.88671875" customWidth="1"/>
    <col min="41" max="41" width="6.33203125" customWidth="1"/>
    <col min="42" max="42" width="3" customWidth="1"/>
    <col min="43" max="43" width="13.6640625" customWidth="1"/>
    <col min="44" max="44" width="4.44140625" customWidth="1"/>
    <col min="45" max="45" width="14.21875" customWidth="1"/>
    <col min="46" max="46" width="4.44140625" customWidth="1"/>
    <col min="47" max="47" width="13.77734375" customWidth="1"/>
    <col min="48" max="48" width="4.44140625" customWidth="1"/>
    <col min="49" max="49" width="12.33203125" customWidth="1"/>
    <col min="50" max="50" width="4.44140625" customWidth="1"/>
    <col min="51" max="51" width="12.109375" customWidth="1"/>
    <col min="52" max="52" width="4.44140625" customWidth="1"/>
    <col min="53" max="53" width="2" customWidth="1"/>
    <col min="54" max="54" width="3.5546875" customWidth="1"/>
    <col min="55" max="55" width="11.44140625" customWidth="1"/>
    <col min="56" max="56" width="6.5546875" customWidth="1"/>
    <col min="57" max="57" width="5.33203125" customWidth="1"/>
    <col min="58" max="58" width="5.88671875" customWidth="1"/>
    <col min="59" max="59" width="14.21875" customWidth="1"/>
    <col min="60" max="60" width="14.44140625" customWidth="1"/>
    <col min="61" max="61" width="14.88671875" customWidth="1"/>
    <col min="62" max="62" width="14.77734375" customWidth="1"/>
    <col min="63" max="63" width="14.33203125" customWidth="1"/>
    <col min="64" max="64" width="3" customWidth="1"/>
    <col min="65" max="65" width="3.5546875" customWidth="1"/>
    <col min="66" max="66" width="11.44140625" customWidth="1"/>
    <col min="67" max="67" width="6.109375" customWidth="1"/>
    <col min="68" max="68" width="1.33203125" customWidth="1"/>
    <col min="69" max="69" width="7.5546875" customWidth="1"/>
    <col min="70" max="71" width="12.88671875" customWidth="1"/>
    <col min="72" max="72" width="13.88671875" customWidth="1"/>
    <col min="73" max="74" width="12.88671875" customWidth="1"/>
    <col min="75" max="75" width="3" customWidth="1"/>
    <col min="76" max="76" width="3.5546875" customWidth="1"/>
    <col min="77" max="78" width="11.44140625" customWidth="1"/>
    <col min="79" max="79" width="4.77734375" customWidth="1"/>
    <col min="80" max="80" width="13.88671875" customWidth="1"/>
    <col min="81" max="81" width="14.33203125" customWidth="1"/>
    <col min="82" max="82" width="13.88671875" customWidth="1"/>
    <col min="83" max="83" width="14.5546875" customWidth="1"/>
    <col min="84" max="84" width="13.88671875" customWidth="1"/>
    <col min="85" max="85" width="3" customWidth="1"/>
    <col min="86" max="86" width="3.88671875" customWidth="1"/>
    <col min="87" max="87" width="12.44140625" customWidth="1"/>
    <col min="88" max="88" width="11.109375" bestFit="1" customWidth="1"/>
    <col min="89" max="89" width="14.88671875" bestFit="1" customWidth="1"/>
    <col min="90" max="92" width="11.109375" bestFit="1" customWidth="1"/>
    <col min="93" max="94" width="12.5546875" customWidth="1"/>
    <col min="95" max="95" width="2.5546875" customWidth="1"/>
  </cols>
  <sheetData>
    <row r="1" spans="2:94" ht="36" customHeight="1" thickBot="1"/>
    <row r="2" spans="2:94" ht="15" customHeight="1" thickTop="1">
      <c r="B2" s="284"/>
      <c r="C2" s="285"/>
      <c r="D2" s="285"/>
      <c r="E2" s="285"/>
      <c r="F2" s="285"/>
      <c r="G2" s="285"/>
      <c r="H2" s="286"/>
      <c r="K2" s="603" t="s">
        <v>107</v>
      </c>
      <c r="L2" s="604"/>
      <c r="M2" s="604"/>
      <c r="N2" s="604"/>
      <c r="O2" s="604"/>
      <c r="P2" s="604"/>
      <c r="Q2" s="605"/>
      <c r="T2" s="603" t="s">
        <v>116</v>
      </c>
      <c r="U2" s="604"/>
      <c r="V2" s="604"/>
      <c r="W2" s="604"/>
      <c r="X2" s="604"/>
      <c r="Y2" s="604"/>
      <c r="Z2" s="604"/>
      <c r="AC2" s="603" t="s">
        <v>238</v>
      </c>
      <c r="AD2" s="604"/>
      <c r="AE2" s="604"/>
      <c r="AF2" s="604"/>
      <c r="AG2" s="604"/>
      <c r="AH2" s="604"/>
      <c r="AI2" s="604"/>
      <c r="AJ2" s="604"/>
      <c r="AK2" s="605"/>
      <c r="AN2" s="603" t="s">
        <v>127</v>
      </c>
      <c r="AO2" s="604"/>
      <c r="AP2" s="604"/>
      <c r="AQ2" s="604"/>
      <c r="AR2" s="604"/>
      <c r="AS2" s="604"/>
      <c r="AT2" s="604"/>
      <c r="AU2" s="604"/>
      <c r="AV2" s="604"/>
      <c r="AW2" s="604"/>
      <c r="AX2" s="604"/>
      <c r="AY2" s="604"/>
      <c r="AZ2" s="605"/>
      <c r="BC2" s="603" t="s">
        <v>148</v>
      </c>
      <c r="BD2" s="604"/>
      <c r="BE2" s="604"/>
      <c r="BF2" s="604"/>
      <c r="BG2" s="604"/>
      <c r="BH2" s="604"/>
      <c r="BI2" s="604"/>
      <c r="BJ2" s="604"/>
      <c r="BK2" s="605"/>
      <c r="BN2" s="603" t="s">
        <v>239</v>
      </c>
      <c r="BO2" s="604"/>
      <c r="BP2" s="604"/>
      <c r="BQ2" s="604"/>
      <c r="BR2" s="604"/>
      <c r="BS2" s="604"/>
      <c r="BT2" s="604"/>
      <c r="BU2" s="604"/>
      <c r="BV2" s="605"/>
      <c r="BY2" s="603" t="s">
        <v>178</v>
      </c>
      <c r="BZ2" s="604"/>
      <c r="CA2" s="604"/>
      <c r="CB2" s="604"/>
      <c r="CC2" s="604"/>
      <c r="CD2" s="604"/>
      <c r="CE2" s="604"/>
      <c r="CF2" s="605"/>
      <c r="CI2" s="603" t="s">
        <v>185</v>
      </c>
      <c r="CJ2" s="604"/>
      <c r="CK2" s="604"/>
      <c r="CL2" s="604"/>
      <c r="CM2" s="604"/>
      <c r="CN2" s="604"/>
      <c r="CO2" s="604"/>
      <c r="CP2" s="605"/>
    </row>
    <row r="3" spans="2:94" ht="31.5" customHeight="1">
      <c r="B3" s="287"/>
      <c r="C3" s="283"/>
      <c r="D3" s="283"/>
      <c r="E3" s="288"/>
      <c r="F3" s="289"/>
      <c r="G3" s="289"/>
      <c r="H3" s="290"/>
      <c r="K3" s="606"/>
      <c r="L3" s="607"/>
      <c r="M3" s="607"/>
      <c r="N3" s="607"/>
      <c r="O3" s="607"/>
      <c r="P3" s="607"/>
      <c r="Q3" s="608"/>
      <c r="T3" s="606"/>
      <c r="U3" s="607"/>
      <c r="V3" s="607"/>
      <c r="W3" s="607"/>
      <c r="X3" s="607"/>
      <c r="Y3" s="607"/>
      <c r="Z3" s="607"/>
      <c r="AC3" s="606"/>
      <c r="AD3" s="607"/>
      <c r="AE3" s="607"/>
      <c r="AF3" s="607"/>
      <c r="AG3" s="607"/>
      <c r="AH3" s="607"/>
      <c r="AI3" s="607"/>
      <c r="AJ3" s="607"/>
      <c r="AK3" s="608"/>
      <c r="AN3" s="606"/>
      <c r="AO3" s="607"/>
      <c r="AP3" s="607"/>
      <c r="AQ3" s="607"/>
      <c r="AR3" s="607"/>
      <c r="AS3" s="607"/>
      <c r="AT3" s="607"/>
      <c r="AU3" s="607"/>
      <c r="AV3" s="607"/>
      <c r="AW3" s="607"/>
      <c r="AX3" s="607"/>
      <c r="AY3" s="607"/>
      <c r="AZ3" s="608"/>
      <c r="BC3" s="606"/>
      <c r="BD3" s="607"/>
      <c r="BE3" s="607"/>
      <c r="BF3" s="607"/>
      <c r="BG3" s="607"/>
      <c r="BH3" s="607"/>
      <c r="BI3" s="607"/>
      <c r="BJ3" s="607"/>
      <c r="BK3" s="608"/>
      <c r="BN3" s="606"/>
      <c r="BO3" s="607"/>
      <c r="BP3" s="607"/>
      <c r="BQ3" s="607"/>
      <c r="BR3" s="607"/>
      <c r="BS3" s="607"/>
      <c r="BT3" s="607"/>
      <c r="BU3" s="607"/>
      <c r="BV3" s="608"/>
      <c r="BY3" s="606"/>
      <c r="BZ3" s="607"/>
      <c r="CA3" s="607"/>
      <c r="CB3" s="607"/>
      <c r="CC3" s="607"/>
      <c r="CD3" s="607"/>
      <c r="CE3" s="607"/>
      <c r="CF3" s="608"/>
      <c r="CI3" s="606"/>
      <c r="CJ3" s="607"/>
      <c r="CK3" s="607"/>
      <c r="CL3" s="607"/>
      <c r="CM3" s="607"/>
      <c r="CN3" s="607"/>
      <c r="CO3" s="607"/>
      <c r="CP3" s="608"/>
    </row>
    <row r="4" spans="2:94" ht="15" customHeight="1" thickBot="1">
      <c r="B4" s="291"/>
      <c r="C4" s="283"/>
      <c r="D4" s="283"/>
      <c r="E4" s="292"/>
      <c r="F4" s="289"/>
      <c r="G4" s="289"/>
      <c r="H4" s="290"/>
      <c r="K4" s="609"/>
      <c r="L4" s="610"/>
      <c r="M4" s="610"/>
      <c r="N4" s="610"/>
      <c r="O4" s="610"/>
      <c r="P4" s="610"/>
      <c r="Q4" s="611"/>
      <c r="T4" s="609"/>
      <c r="U4" s="610"/>
      <c r="V4" s="610"/>
      <c r="W4" s="610"/>
      <c r="X4" s="610"/>
      <c r="Y4" s="610"/>
      <c r="Z4" s="610"/>
      <c r="AC4" s="609"/>
      <c r="AD4" s="610"/>
      <c r="AE4" s="610"/>
      <c r="AF4" s="610"/>
      <c r="AG4" s="610"/>
      <c r="AH4" s="610"/>
      <c r="AI4" s="610"/>
      <c r="AJ4" s="610"/>
      <c r="AK4" s="611"/>
      <c r="AN4" s="609"/>
      <c r="AO4" s="610"/>
      <c r="AP4" s="610"/>
      <c r="AQ4" s="610"/>
      <c r="AR4" s="610"/>
      <c r="AS4" s="610"/>
      <c r="AT4" s="610"/>
      <c r="AU4" s="610"/>
      <c r="AV4" s="610"/>
      <c r="AW4" s="610"/>
      <c r="AX4" s="610"/>
      <c r="AY4" s="610"/>
      <c r="AZ4" s="611"/>
      <c r="BC4" s="609"/>
      <c r="BD4" s="610"/>
      <c r="BE4" s="610"/>
      <c r="BF4" s="610"/>
      <c r="BG4" s="610"/>
      <c r="BH4" s="610"/>
      <c r="BI4" s="610"/>
      <c r="BJ4" s="610"/>
      <c r="BK4" s="611"/>
      <c r="BN4" s="609"/>
      <c r="BO4" s="610"/>
      <c r="BP4" s="610"/>
      <c r="BQ4" s="610"/>
      <c r="BR4" s="610"/>
      <c r="BS4" s="610"/>
      <c r="BT4" s="610"/>
      <c r="BU4" s="610"/>
      <c r="BV4" s="611"/>
      <c r="BY4" s="609"/>
      <c r="BZ4" s="610"/>
      <c r="CA4" s="610"/>
      <c r="CB4" s="610"/>
      <c r="CC4" s="610"/>
      <c r="CD4" s="610"/>
      <c r="CE4" s="610"/>
      <c r="CF4" s="611"/>
      <c r="CI4" s="609"/>
      <c r="CJ4" s="610"/>
      <c r="CK4" s="610"/>
      <c r="CL4" s="610"/>
      <c r="CM4" s="610"/>
      <c r="CN4" s="610"/>
      <c r="CO4" s="610"/>
      <c r="CP4" s="611"/>
    </row>
    <row r="5" spans="2:94" ht="30" customHeight="1">
      <c r="B5" s="291"/>
      <c r="C5" s="283"/>
      <c r="D5" s="283"/>
      <c r="E5" s="293"/>
      <c r="F5" s="289"/>
      <c r="G5" s="289"/>
      <c r="H5" s="290"/>
    </row>
    <row r="6" spans="2:94" ht="15" customHeight="1">
      <c r="B6" s="291"/>
      <c r="C6" s="283"/>
      <c r="D6" s="283"/>
      <c r="E6" s="602"/>
      <c r="F6" s="602"/>
      <c r="G6" s="602"/>
      <c r="H6" s="290"/>
      <c r="K6" s="1" t="s">
        <v>49</v>
      </c>
      <c r="M6" s="3" t="str">
        <f>IF(ISBLANK('Données à saisir'!$B8),"",('Données à saisir'!$B8))</f>
        <v>E.G.J</v>
      </c>
      <c r="T6" s="1" t="s">
        <v>49</v>
      </c>
      <c r="V6" s="3" t="str">
        <f>IF(ISBLANK('Données à saisir'!$B8),"",('Données à saisir'!$B8))</f>
        <v>E.G.J</v>
      </c>
      <c r="AC6" s="1" t="s">
        <v>49</v>
      </c>
      <c r="AE6" s="3" t="str">
        <f>IF(ISBLANK('Données à saisir'!$B8),"",('Données à saisir'!$B8))</f>
        <v>E.G.J</v>
      </c>
      <c r="AN6" s="1" t="s">
        <v>49</v>
      </c>
      <c r="AP6" s="3" t="str">
        <f>IF(ISBLANK('Données à saisir'!$B8),"",('Données à saisir'!$B8))</f>
        <v>E.G.J</v>
      </c>
      <c r="BC6" s="1" t="s">
        <v>49</v>
      </c>
      <c r="BE6" s="3" t="str">
        <f>IF(ISBLANK('Données à saisir'!$B8),"",('Données à saisir'!$B8))</f>
        <v>E.G.J</v>
      </c>
      <c r="BN6" s="1" t="s">
        <v>49</v>
      </c>
      <c r="BP6" s="3" t="str">
        <f>IF(ISBLANK('Données à saisir'!$B8),"",('Données à saisir'!$B8))</f>
        <v>E.G.J</v>
      </c>
      <c r="BY6" s="1" t="s">
        <v>49</v>
      </c>
      <c r="CA6" s="3" t="str">
        <f>IF(ISBLANK('Données à saisir'!$B8),"",('Données à saisir'!$B8))</f>
        <v>E.G.J</v>
      </c>
      <c r="CF6" s="111"/>
      <c r="CI6" s="1" t="s">
        <v>49</v>
      </c>
      <c r="CK6" s="3" t="str">
        <f>IF(ISBLANK('Données à saisir'!$B8),"",('Données à saisir'!$B8))</f>
        <v>E.G.J</v>
      </c>
      <c r="CP6" s="111"/>
    </row>
    <row r="7" spans="2:94" ht="15" customHeight="1">
      <c r="B7" s="291"/>
      <c r="C7" s="283"/>
      <c r="D7" s="283"/>
      <c r="E7" s="602"/>
      <c r="F7" s="602"/>
      <c r="G7" s="602"/>
      <c r="H7" s="290"/>
      <c r="K7" s="1" t="s">
        <v>50</v>
      </c>
      <c r="M7" s="3" t="str">
        <f>IF(ISBLANK('Données à saisir'!$B7),"",('Données à saisir'!$B7))</f>
        <v xml:space="preserve">MALEK KAMEL </v>
      </c>
      <c r="T7" s="1" t="s">
        <v>50</v>
      </c>
      <c r="V7" s="3" t="str">
        <f>IF(ISBLANK('Données à saisir'!$B7),"",('Données à saisir'!$B7))</f>
        <v xml:space="preserve">MALEK KAMEL </v>
      </c>
      <c r="AC7" s="1" t="s">
        <v>50</v>
      </c>
      <c r="AE7" s="3" t="str">
        <f>IF(ISBLANK('Données à saisir'!$B7),"",('Données à saisir'!$B7))</f>
        <v xml:space="preserve">MALEK KAMEL </v>
      </c>
      <c r="AN7" s="1" t="s">
        <v>50</v>
      </c>
      <c r="AP7" s="3" t="str">
        <f>IF(ISBLANK('Données à saisir'!$B7),"",('Données à saisir'!$B7))</f>
        <v xml:space="preserve">MALEK KAMEL </v>
      </c>
      <c r="BC7" s="1" t="s">
        <v>50</v>
      </c>
      <c r="BE7" s="3" t="str">
        <f>IF(ISBLANK('Données à saisir'!$B7),"",('Données à saisir'!$B7))</f>
        <v xml:space="preserve">MALEK KAMEL </v>
      </c>
      <c r="BN7" s="1" t="s">
        <v>50</v>
      </c>
      <c r="BP7" s="3" t="str">
        <f>IF(ISBLANK('Données à saisir'!$B7),"",('Données à saisir'!$B7))</f>
        <v xml:space="preserve">MALEK KAMEL </v>
      </c>
      <c r="BY7" s="1" t="s">
        <v>50</v>
      </c>
      <c r="CA7" s="3" t="str">
        <f>IF(ISBLANK('Données à saisir'!$B7),"",('Données à saisir'!$B7))</f>
        <v xml:space="preserve">MALEK KAMEL </v>
      </c>
      <c r="CI7" s="1" t="s">
        <v>50</v>
      </c>
      <c r="CK7" s="3" t="str">
        <f>IF(ISBLANK('Données à saisir'!$B7),"",('Données à saisir'!$B7))</f>
        <v xml:space="preserve">MALEK KAMEL </v>
      </c>
    </row>
    <row r="8" spans="2:94" ht="54" customHeight="1" thickBot="1">
      <c r="B8" s="294"/>
      <c r="C8" s="295"/>
      <c r="D8" s="295"/>
      <c r="E8" s="296"/>
      <c r="F8" s="295"/>
      <c r="G8" s="295"/>
      <c r="H8" s="297"/>
      <c r="T8" s="1"/>
      <c r="AG8" s="626" t="s">
        <v>25</v>
      </c>
      <c r="AH8" s="595" t="s">
        <v>26</v>
      </c>
      <c r="AI8" s="622" t="s">
        <v>27</v>
      </c>
      <c r="AJ8" s="595" t="s">
        <v>73</v>
      </c>
      <c r="AK8" s="635" t="s">
        <v>74</v>
      </c>
    </row>
    <row r="9" spans="2:94" ht="15" customHeight="1" thickTop="1">
      <c r="K9" s="612" t="s">
        <v>108</v>
      </c>
      <c r="L9" s="613"/>
      <c r="M9" s="613"/>
      <c r="N9" s="613"/>
      <c r="O9" s="613"/>
      <c r="P9" s="613"/>
      <c r="Q9" s="616" t="s">
        <v>386</v>
      </c>
      <c r="U9" s="1" t="s">
        <v>117</v>
      </c>
      <c r="X9" t="str">
        <f>C33</f>
        <v>SARL (IS)</v>
      </c>
      <c r="AC9" s="44"/>
      <c r="AG9" s="627"/>
      <c r="AH9" s="596"/>
      <c r="AI9" s="623"/>
      <c r="AJ9" s="596"/>
      <c r="AK9" s="636"/>
      <c r="BG9" s="638" t="s">
        <v>25</v>
      </c>
      <c r="BH9" s="595" t="s">
        <v>26</v>
      </c>
      <c r="BI9" s="593" t="s">
        <v>27</v>
      </c>
      <c r="BJ9" s="595" t="s">
        <v>73</v>
      </c>
      <c r="BK9" s="635" t="s">
        <v>74</v>
      </c>
    </row>
    <row r="10" spans="2:94" ht="15" customHeight="1">
      <c r="K10" s="614"/>
      <c r="L10" s="615"/>
      <c r="M10" s="615"/>
      <c r="N10" s="615"/>
      <c r="O10" s="615"/>
      <c r="P10" s="615"/>
      <c r="Q10" s="617"/>
      <c r="U10" s="1"/>
      <c r="AC10" s="45" t="s">
        <v>98</v>
      </c>
      <c r="AD10" s="46"/>
      <c r="AE10" s="46"/>
      <c r="AF10" s="46"/>
      <c r="AG10" s="151">
        <f>SUM(AG11:AG12)</f>
        <v>1415040</v>
      </c>
      <c r="AH10" s="151">
        <f t="shared" ref="AH10:AI10" si="0">SUM(AH11:AH12)</f>
        <v>1556544</v>
      </c>
      <c r="AI10" s="168">
        <f t="shared" si="0"/>
        <v>1712198.4</v>
      </c>
      <c r="AJ10" s="151">
        <f t="shared" ref="AJ10:AK10" si="1">SUM(AJ11:AJ12)</f>
        <v>1883418.24</v>
      </c>
      <c r="AK10" s="170">
        <f t="shared" si="1"/>
        <v>2071760.064</v>
      </c>
      <c r="BC10" s="44"/>
      <c r="BG10" s="639"/>
      <c r="BH10" s="596"/>
      <c r="BI10" s="594"/>
      <c r="BJ10" s="596"/>
      <c r="BK10" s="636"/>
    </row>
    <row r="11" spans="2:94" ht="15" customHeight="1" thickBot="1">
      <c r="K11" s="31"/>
      <c r="L11" s="32"/>
      <c r="M11" s="32"/>
      <c r="N11" s="32"/>
      <c r="O11" s="32"/>
      <c r="P11" s="32"/>
      <c r="Q11" s="38"/>
      <c r="U11" s="1" t="s">
        <v>240</v>
      </c>
      <c r="X11" t="str">
        <f>IF(X9="sas (is)","Assimilé-salarié",IF(X9="sasu (is)","Assimilé-salarié","Travailleur non salarié"))</f>
        <v>Travailleur non salarié</v>
      </c>
      <c r="AC11" s="40" t="s">
        <v>594</v>
      </c>
      <c r="AG11" s="155">
        <f>'Données à saisir'!D116</f>
        <v>1415040</v>
      </c>
      <c r="AH11" s="155">
        <f>AG11+AG11*'Données à saisir'!D118</f>
        <v>1556544</v>
      </c>
      <c r="AI11" s="213">
        <f>AH11+AH11*'Données à saisir'!D119</f>
        <v>1712198.4</v>
      </c>
      <c r="AJ11" s="155">
        <f>AI11+AI11*'Données à saisir'!D120</f>
        <v>1883418.24</v>
      </c>
      <c r="AK11" s="187">
        <f>AJ11+AJ11*'Données à saisir'!D121</f>
        <v>2071760.064</v>
      </c>
      <c r="AQ11" s="626" t="s">
        <v>25</v>
      </c>
      <c r="AR11" s="633" t="s">
        <v>138</v>
      </c>
      <c r="AS11" s="595" t="s">
        <v>26</v>
      </c>
      <c r="AT11" s="633" t="s">
        <v>138</v>
      </c>
      <c r="AU11" s="595" t="s">
        <v>27</v>
      </c>
      <c r="AV11" s="631" t="s">
        <v>138</v>
      </c>
      <c r="AW11" s="595" t="s">
        <v>73</v>
      </c>
      <c r="AX11" s="591" t="s">
        <v>138</v>
      </c>
      <c r="AY11" s="247" t="s">
        <v>74</v>
      </c>
      <c r="AZ11" s="507" t="s">
        <v>138</v>
      </c>
      <c r="BC11" s="45" t="s">
        <v>163</v>
      </c>
      <c r="BD11" s="46"/>
      <c r="BE11" s="46"/>
      <c r="BF11" s="46"/>
      <c r="BG11" s="151">
        <f>AG10</f>
        <v>1415040</v>
      </c>
      <c r="BH11" s="151">
        <f>AH10</f>
        <v>1556544</v>
      </c>
      <c r="BI11" s="168">
        <f>AI10</f>
        <v>1712198.4</v>
      </c>
      <c r="BJ11" s="151">
        <f>AJ10</f>
        <v>1883418.24</v>
      </c>
      <c r="BK11" s="170">
        <f>AK10</f>
        <v>2071760.064</v>
      </c>
      <c r="BY11" s="119" t="s">
        <v>206</v>
      </c>
    </row>
    <row r="12" spans="2:94" ht="15" customHeight="1" thickTop="1" thickBot="1">
      <c r="B12" s="21"/>
      <c r="C12" s="22"/>
      <c r="D12" s="22"/>
      <c r="E12" s="22"/>
      <c r="F12" s="22"/>
      <c r="G12" s="22"/>
      <c r="H12" s="23"/>
      <c r="K12" s="36" t="s">
        <v>53</v>
      </c>
      <c r="Q12" s="184">
        <f>SUM(Q13:Q22)</f>
        <v>0</v>
      </c>
      <c r="AC12" s="40"/>
      <c r="AG12" s="155">
        <f>'Données à saisir'!I116</f>
        <v>0</v>
      </c>
      <c r="AH12" s="155">
        <f>AG12+AG12*'Données à saisir'!I118</f>
        <v>0</v>
      </c>
      <c r="AI12" s="213">
        <f>AH12+AH12*'Données à saisir'!I119</f>
        <v>0</v>
      </c>
      <c r="AJ12" s="155">
        <f>AI12+AI12*'Données à saisir'!I120</f>
        <v>0</v>
      </c>
      <c r="AK12" s="187">
        <f>AJ12+AJ12*'Données à saisir'!I121</f>
        <v>0</v>
      </c>
      <c r="AN12" s="44"/>
      <c r="AQ12" s="629"/>
      <c r="AR12" s="634"/>
      <c r="AS12" s="630"/>
      <c r="AT12" s="634"/>
      <c r="AU12" s="630"/>
      <c r="AV12" s="632"/>
      <c r="AW12" s="596"/>
      <c r="AX12" s="592"/>
      <c r="AY12" s="251"/>
      <c r="AZ12" s="508"/>
      <c r="BC12" s="85" t="s">
        <v>58</v>
      </c>
      <c r="BG12" s="164">
        <f>AQ15</f>
        <v>78613.333333333328</v>
      </c>
      <c r="BH12" s="164">
        <f>AS15</f>
        <v>86474.666666666672</v>
      </c>
      <c r="BI12" s="166">
        <f>AU15</f>
        <v>95122.133333333331</v>
      </c>
      <c r="BJ12" s="164">
        <f>AW15</f>
        <v>104634.34666666666</v>
      </c>
      <c r="BK12" s="171">
        <f>AY15</f>
        <v>115097.78133333333</v>
      </c>
      <c r="BR12" s="638" t="s">
        <v>25</v>
      </c>
      <c r="BS12" s="595" t="s">
        <v>26</v>
      </c>
      <c r="BT12" s="593" t="s">
        <v>27</v>
      </c>
      <c r="BU12" s="595" t="s">
        <v>73</v>
      </c>
      <c r="BV12" s="635" t="s">
        <v>74</v>
      </c>
    </row>
    <row r="13" spans="2:94" ht="15" customHeight="1">
      <c r="B13" s="24"/>
      <c r="H13" s="25"/>
      <c r="K13" s="40" t="str">
        <f>'Données à saisir'!A18</f>
        <v>Frais d'établiseement</v>
      </c>
      <c r="Q13" s="185">
        <f>IF(ISBLANK('Données à saisir'!B18),"",'Données à saisir'!B18)</f>
        <v>0</v>
      </c>
      <c r="X13" s="246" t="s">
        <v>25</v>
      </c>
      <c r="Y13" s="247" t="s">
        <v>26</v>
      </c>
      <c r="Z13" s="248" t="s">
        <v>27</v>
      </c>
      <c r="AC13" s="35" t="s">
        <v>99</v>
      </c>
      <c r="AG13" s="158">
        <f>AG14</f>
        <v>78613.333333333328</v>
      </c>
      <c r="AH13" s="158">
        <f>AH14</f>
        <v>86474.666666666672</v>
      </c>
      <c r="AI13" s="159">
        <f>AI14</f>
        <v>95122.133333333331</v>
      </c>
      <c r="AJ13" s="158">
        <f>AJ14</f>
        <v>104634.34666666666</v>
      </c>
      <c r="AK13" s="160">
        <f>AK14</f>
        <v>115097.78133333333</v>
      </c>
      <c r="AN13" s="205" t="s">
        <v>128</v>
      </c>
      <c r="AO13" s="32"/>
      <c r="AP13" s="32"/>
      <c r="AQ13" s="475">
        <f>AG10</f>
        <v>1415040</v>
      </c>
      <c r="AR13" s="188">
        <v>1</v>
      </c>
      <c r="AS13" s="475">
        <f>AH10</f>
        <v>1556544</v>
      </c>
      <c r="AT13" s="192">
        <v>1</v>
      </c>
      <c r="AU13" s="471">
        <f>AI10</f>
        <v>1712198.4</v>
      </c>
      <c r="AV13" s="192">
        <v>1</v>
      </c>
      <c r="AW13" s="475">
        <f>+AJ10</f>
        <v>1883418.24</v>
      </c>
      <c r="AX13" s="192">
        <v>1</v>
      </c>
      <c r="AY13" s="475">
        <f>+AK10</f>
        <v>2071760.064</v>
      </c>
      <c r="AZ13" s="197">
        <v>1</v>
      </c>
      <c r="BC13" s="85" t="s">
        <v>149</v>
      </c>
      <c r="BG13" s="164">
        <f>BG12</f>
        <v>78613.333333333328</v>
      </c>
      <c r="BH13" s="164">
        <f t="shared" ref="BH13:BI13" si="2">BH12</f>
        <v>86474.666666666672</v>
      </c>
      <c r="BI13" s="166">
        <f t="shared" si="2"/>
        <v>95122.133333333331</v>
      </c>
      <c r="BJ13" s="164">
        <f t="shared" ref="BJ13:BK13" si="3">BJ12</f>
        <v>104634.34666666666</v>
      </c>
      <c r="BK13" s="171">
        <f t="shared" si="3"/>
        <v>115097.78133333333</v>
      </c>
      <c r="BN13" s="44"/>
      <c r="BR13" s="639"/>
      <c r="BS13" s="596"/>
      <c r="BT13" s="594"/>
      <c r="BU13" s="596"/>
      <c r="BV13" s="636"/>
      <c r="CB13" s="638" t="s">
        <v>179</v>
      </c>
      <c r="CC13" s="595" t="s">
        <v>180</v>
      </c>
      <c r="CD13" s="595" t="s">
        <v>181</v>
      </c>
      <c r="CE13" s="595" t="s">
        <v>184</v>
      </c>
      <c r="CF13" s="643" t="s">
        <v>186</v>
      </c>
      <c r="CI13" s="638" t="s">
        <v>187</v>
      </c>
      <c r="CJ13" s="595" t="s">
        <v>188</v>
      </c>
      <c r="CK13" s="595" t="s">
        <v>189</v>
      </c>
      <c r="CL13" s="595" t="s">
        <v>190</v>
      </c>
      <c r="CM13" s="595" t="s">
        <v>191</v>
      </c>
      <c r="CN13" s="595" t="s">
        <v>192</v>
      </c>
      <c r="CO13" s="593" t="s">
        <v>193</v>
      </c>
      <c r="CP13" s="640" t="s">
        <v>31</v>
      </c>
    </row>
    <row r="14" spans="2:94" ht="15" customHeight="1">
      <c r="B14" s="619" t="s">
        <v>586</v>
      </c>
      <c r="C14" s="620"/>
      <c r="D14" s="620"/>
      <c r="E14" s="620"/>
      <c r="F14" s="620"/>
      <c r="G14" s="620"/>
      <c r="H14" s="621"/>
      <c r="K14" s="40" t="str">
        <f>'Données à saisir'!A19</f>
        <v>Frais d’ouverture de compteurs</v>
      </c>
      <c r="Q14" s="185" t="str">
        <f>IF(ISBLANK('Données à saisir'!B19),"",'Données à saisir'!B19)</f>
        <v/>
      </c>
      <c r="T14" s="44"/>
      <c r="X14" s="250"/>
      <c r="Y14" s="251"/>
      <c r="Z14" s="252"/>
      <c r="AC14" s="40" t="s">
        <v>58</v>
      </c>
      <c r="AG14" s="155">
        <f>'Achats consommés '!C18</f>
        <v>78613.333333333328</v>
      </c>
      <c r="AH14" s="155">
        <f>'Achats consommés '!D18</f>
        <v>86474.666666666672</v>
      </c>
      <c r="AI14" s="213">
        <f>'Achats consommés '!E18</f>
        <v>95122.133333333331</v>
      </c>
      <c r="AJ14" s="155">
        <f>'Achats consommés '!F18</f>
        <v>104634.34666666666</v>
      </c>
      <c r="AK14" s="187">
        <f>'Achats consommés '!G18</f>
        <v>115097.78133333333</v>
      </c>
      <c r="AN14" s="206" t="s">
        <v>129</v>
      </c>
      <c r="AQ14" s="476">
        <f>AG10</f>
        <v>1415040</v>
      </c>
      <c r="AR14" s="189">
        <v>1</v>
      </c>
      <c r="AS14" s="476">
        <f>AH10</f>
        <v>1556544</v>
      </c>
      <c r="AT14" s="193">
        <v>1</v>
      </c>
      <c r="AU14" s="472">
        <f>AI10</f>
        <v>1712198.4</v>
      </c>
      <c r="AV14" s="193">
        <v>1</v>
      </c>
      <c r="AW14" s="476">
        <f>+AJ10</f>
        <v>1883418.24</v>
      </c>
      <c r="AX14" s="193">
        <v>1</v>
      </c>
      <c r="AY14" s="476">
        <f>+AK10</f>
        <v>2071760.064</v>
      </c>
      <c r="AZ14" s="198">
        <v>1</v>
      </c>
      <c r="BC14" s="85" t="s">
        <v>150</v>
      </c>
      <c r="BG14" s="158">
        <f>BG11-BG13</f>
        <v>1336426.6666666667</v>
      </c>
      <c r="BH14" s="158">
        <f t="shared" ref="BH14:BI14" si="4">BH11-BH13</f>
        <v>1470069.3333333333</v>
      </c>
      <c r="BI14" s="159">
        <f t="shared" si="4"/>
        <v>1617076.2666666666</v>
      </c>
      <c r="BJ14" s="158">
        <f t="shared" ref="BJ14:BK14" si="5">BJ11-BJ13</f>
        <v>1778783.8933333333</v>
      </c>
      <c r="BK14" s="160">
        <f t="shared" si="5"/>
        <v>1956662.2826666667</v>
      </c>
      <c r="BN14" s="108" t="s">
        <v>170</v>
      </c>
      <c r="BO14" s="46"/>
      <c r="BP14" s="46"/>
      <c r="BQ14" s="46"/>
      <c r="BR14" s="179">
        <f>Q12+Q23</f>
        <v>126300</v>
      </c>
      <c r="BS14" s="151"/>
      <c r="BT14" s="152"/>
      <c r="BU14" s="153"/>
      <c r="BV14" s="154"/>
      <c r="BY14" s="44"/>
      <c r="CB14" s="639"/>
      <c r="CC14" s="596"/>
      <c r="CD14" s="596"/>
      <c r="CE14" s="596"/>
      <c r="CF14" s="644"/>
      <c r="CI14" s="639"/>
      <c r="CJ14" s="596"/>
      <c r="CK14" s="596"/>
      <c r="CL14" s="596"/>
      <c r="CM14" s="596"/>
      <c r="CN14" s="596"/>
      <c r="CO14" s="594"/>
      <c r="CP14" s="641"/>
    </row>
    <row r="15" spans="2:94" ht="15" customHeight="1">
      <c r="B15" s="619"/>
      <c r="C15" s="620"/>
      <c r="D15" s="620"/>
      <c r="E15" s="620"/>
      <c r="F15" s="620"/>
      <c r="G15" s="620"/>
      <c r="H15" s="621"/>
      <c r="K15" s="40" t="str">
        <f>'Données à saisir'!A20</f>
        <v>Logiciels, formations</v>
      </c>
      <c r="Q15" s="185" t="str">
        <f>IF(ISBLANK('Données à saisir'!B20),"",'Données à saisir'!B20)</f>
        <v/>
      </c>
      <c r="T15" s="45" t="s">
        <v>121</v>
      </c>
      <c r="U15" s="46"/>
      <c r="V15" s="46"/>
      <c r="W15" s="46"/>
      <c r="X15" s="151">
        <f>'Données à saisir'!B137</f>
        <v>50000</v>
      </c>
      <c r="Y15" s="151">
        <f>'Données à saisir'!C137</f>
        <v>60000</v>
      </c>
      <c r="Z15" s="152">
        <f>'Données à saisir'!D137</f>
        <v>70000</v>
      </c>
      <c r="AC15" s="53"/>
      <c r="AG15" s="155"/>
      <c r="AH15" s="155"/>
      <c r="AI15" s="214"/>
      <c r="AJ15" s="155"/>
      <c r="AK15" s="187"/>
      <c r="AN15" s="207" t="s">
        <v>58</v>
      </c>
      <c r="AQ15" s="476">
        <f>AG14</f>
        <v>78613.333333333328</v>
      </c>
      <c r="AR15" s="190">
        <f>AQ15/$AQ$14</f>
        <v>5.5555555555555552E-2</v>
      </c>
      <c r="AS15" s="476">
        <f>AH14</f>
        <v>86474.666666666672</v>
      </c>
      <c r="AT15" s="190">
        <f>AS15/$AS$14</f>
        <v>5.5555555555555559E-2</v>
      </c>
      <c r="AU15" s="472">
        <f>AI14</f>
        <v>95122.133333333331</v>
      </c>
      <c r="AV15" s="194">
        <f>AU15/$AU$14</f>
        <v>5.5555555555555559E-2</v>
      </c>
      <c r="AW15" s="476">
        <f>+AJ14</f>
        <v>104634.34666666666</v>
      </c>
      <c r="AX15" s="194">
        <f>AW15/$AW$14</f>
        <v>5.5555555555555552E-2</v>
      </c>
      <c r="AY15" s="476">
        <f>+AK14</f>
        <v>115097.78133333333</v>
      </c>
      <c r="AZ15" s="199">
        <f>AY15/$AY$14</f>
        <v>5.5555555555555552E-2</v>
      </c>
      <c r="BC15" s="257" t="s">
        <v>164</v>
      </c>
      <c r="BD15" s="253"/>
      <c r="BE15" s="253"/>
      <c r="BF15" s="253"/>
      <c r="BG15" s="261">
        <f>IF(ISERROR(BG14/BG11),0,BG14/BG11)</f>
        <v>0.94444444444444453</v>
      </c>
      <c r="BH15" s="261">
        <f t="shared" ref="BH15:BI15" si="6">IF(ISERROR(BH14/BH11),0,BH14/BH11)</f>
        <v>0.94444444444444442</v>
      </c>
      <c r="BI15" s="262">
        <f t="shared" si="6"/>
        <v>0.94444444444444442</v>
      </c>
      <c r="BJ15" s="261">
        <f t="shared" ref="BJ15:BK15" si="7">IF(ISERROR(BJ14/BJ11),0,BJ14/BJ11)</f>
        <v>0.94444444444444442</v>
      </c>
      <c r="BK15" s="263">
        <f t="shared" si="7"/>
        <v>0.94444444444444442</v>
      </c>
      <c r="BN15" s="85" t="s">
        <v>233</v>
      </c>
      <c r="BR15" s="164">
        <f>Q30</f>
        <v>0</v>
      </c>
      <c r="BS15" s="164"/>
      <c r="BT15" s="166"/>
      <c r="BU15" s="164"/>
      <c r="BV15" s="171"/>
      <c r="BY15" s="110" t="s">
        <v>171</v>
      </c>
      <c r="BZ15" s="46"/>
      <c r="CA15" s="46"/>
      <c r="CB15" s="179">
        <f>BR19</f>
        <v>38800</v>
      </c>
      <c r="CC15" s="179"/>
      <c r="CD15" s="179"/>
      <c r="CE15" s="179"/>
      <c r="CF15" s="180"/>
      <c r="CI15" s="479"/>
      <c r="CJ15" s="480"/>
      <c r="CK15" s="480"/>
      <c r="CL15" s="480"/>
      <c r="CM15" s="480"/>
      <c r="CN15" s="480"/>
      <c r="CO15" s="481"/>
      <c r="CP15" s="482">
        <f t="shared" ref="CP15:CP18" si="8">SUM(CB15:CO15)</f>
        <v>38800</v>
      </c>
    </row>
    <row r="16" spans="2:94" ht="15" customHeight="1">
      <c r="B16" s="619"/>
      <c r="C16" s="620"/>
      <c r="D16" s="620"/>
      <c r="E16" s="620"/>
      <c r="F16" s="620"/>
      <c r="G16" s="620"/>
      <c r="H16" s="621"/>
      <c r="K16" s="40" t="str">
        <f>'Données à saisir'!A21</f>
        <v>Dépôt marque, brevet, modèle</v>
      </c>
      <c r="Q16" s="185">
        <f>IF(ISBLANK('Données à saisir'!B21),"",'Données à saisir'!B21)</f>
        <v>0</v>
      </c>
      <c r="T16" s="40"/>
      <c r="U16" s="3" t="s">
        <v>118</v>
      </c>
      <c r="X16" s="155"/>
      <c r="Y16" s="156">
        <f>IF(ISERROR((Y15-X15)/X15),"",(Y15-X15)/X15)</f>
        <v>0.2</v>
      </c>
      <c r="Z16" s="157">
        <f>IF(ISERROR((Z15-Y15)/Y15),"",(Z15-Y15)/Y15)</f>
        <v>0.16666666666666666</v>
      </c>
      <c r="AC16" s="257" t="s">
        <v>100</v>
      </c>
      <c r="AD16" s="253"/>
      <c r="AE16" s="253"/>
      <c r="AF16" s="253"/>
      <c r="AG16" s="254">
        <f>AG10-AG13</f>
        <v>1336426.6666666667</v>
      </c>
      <c r="AH16" s="254">
        <f>AH10-AH13</f>
        <v>1470069.3333333333</v>
      </c>
      <c r="AI16" s="255">
        <f>AI10-AI13</f>
        <v>1617076.2666666666</v>
      </c>
      <c r="AJ16" s="254">
        <f>AJ10-AJ13</f>
        <v>1778783.8933333333</v>
      </c>
      <c r="AK16" s="256">
        <f>AK10-AK13</f>
        <v>1956662.2826666667</v>
      </c>
      <c r="AN16" s="208" t="s">
        <v>131</v>
      </c>
      <c r="AO16" s="52"/>
      <c r="AP16" s="52"/>
      <c r="AQ16" s="477">
        <f>AQ14-AQ15</f>
        <v>1336426.6666666667</v>
      </c>
      <c r="AR16" s="258">
        <f t="shared" ref="AR16:AR28" si="9">AQ16/$AQ$14</f>
        <v>0.94444444444444453</v>
      </c>
      <c r="AS16" s="477">
        <f t="shared" ref="AS16:AU16" si="10">AS14-AS15</f>
        <v>1470069.3333333333</v>
      </c>
      <c r="AT16" s="259">
        <f t="shared" ref="AT16" si="11">AS16/$AS$14</f>
        <v>0.94444444444444442</v>
      </c>
      <c r="AU16" s="473">
        <f t="shared" si="10"/>
        <v>1617076.2666666666</v>
      </c>
      <c r="AV16" s="259">
        <f>AU16/AU14</f>
        <v>0.94444444444444442</v>
      </c>
      <c r="AW16" s="477">
        <f t="shared" ref="AW16" si="12">AW14-AW15</f>
        <v>1778783.8933333333</v>
      </c>
      <c r="AX16" s="259">
        <f>AW16/AW14</f>
        <v>0.94444444444444442</v>
      </c>
      <c r="AY16" s="477">
        <f t="shared" ref="AY16" si="13">AY14-AY15</f>
        <v>1956662.2826666667</v>
      </c>
      <c r="AZ16" s="260">
        <f>AY16/AY14</f>
        <v>0.94444444444444442</v>
      </c>
      <c r="BC16" s="85" t="s">
        <v>151</v>
      </c>
      <c r="BG16" s="164">
        <f>SUM(AQ17,AQ19,AQ20,AQ22,AQ24)</f>
        <v>785303.87</v>
      </c>
      <c r="BH16" s="164">
        <f>SUM(AS17,AS19,AS20,AS22,AS24)</f>
        <v>877786.93</v>
      </c>
      <c r="BI16" s="165">
        <f>SUM(AU17,AU19,AU20,AU22,AU24)</f>
        <v>958687.80250000011</v>
      </c>
      <c r="BJ16" s="164" t="e">
        <f>SUM(AW17,AW19,AW20,AW22,AW24)</f>
        <v>#REF!</v>
      </c>
      <c r="BK16" s="171" t="e">
        <f>SUM(AY17,AY19,AY20,AY22,AY24)</f>
        <v>#REF!</v>
      </c>
      <c r="BN16" s="85" t="s">
        <v>168</v>
      </c>
      <c r="BR16" s="164">
        <f>BG39</f>
        <v>103381.91780821916</v>
      </c>
      <c r="BS16" s="164">
        <f>BH39-BG39</f>
        <v>10338.19178082193</v>
      </c>
      <c r="BT16" s="166">
        <f>+BI39-BH39</f>
        <v>11372.010958904109</v>
      </c>
      <c r="BU16" s="164">
        <f t="shared" ref="BU16:BV16" si="14">+BJ39-BI39</f>
        <v>12509.212054794538</v>
      </c>
      <c r="BV16" s="171">
        <f t="shared" si="14"/>
        <v>13760.133260273957</v>
      </c>
      <c r="BY16" s="85" t="s">
        <v>172</v>
      </c>
      <c r="CB16" s="164">
        <f>BR20</f>
        <v>300000</v>
      </c>
      <c r="CC16" s="164"/>
      <c r="CD16" s="164"/>
      <c r="CE16" s="164"/>
      <c r="CF16" s="171"/>
      <c r="CI16" s="483"/>
      <c r="CJ16" s="484"/>
      <c r="CK16" s="484"/>
      <c r="CL16" s="484"/>
      <c r="CM16" s="484"/>
      <c r="CN16" s="484"/>
      <c r="CO16" s="485"/>
      <c r="CP16" s="486">
        <f t="shared" si="8"/>
        <v>300000</v>
      </c>
    </row>
    <row r="17" spans="2:94" ht="15" customHeight="1">
      <c r="B17" s="619"/>
      <c r="C17" s="620"/>
      <c r="D17" s="620"/>
      <c r="E17" s="620"/>
      <c r="F17" s="620"/>
      <c r="G17" s="620"/>
      <c r="H17" s="621"/>
      <c r="K17" s="40" t="str">
        <f>'Données à saisir'!A22</f>
        <v>Droits d’entrée</v>
      </c>
      <c r="Q17" s="185" t="str">
        <f>IF(ISBLANK('Données à saisir'!B22),"",'Données à saisir'!B22)</f>
        <v/>
      </c>
      <c r="T17" s="35" t="s">
        <v>122</v>
      </c>
      <c r="X17" s="158">
        <f>X15*0.45</f>
        <v>22500</v>
      </c>
      <c r="Y17" s="158">
        <f>Y15*0.45</f>
        <v>27000</v>
      </c>
      <c r="Z17" s="158">
        <f>Z15*0.45</f>
        <v>31500</v>
      </c>
      <c r="AC17" s="35" t="s">
        <v>101</v>
      </c>
      <c r="AG17" s="158">
        <f>SUM(AG18:AG33)</f>
        <v>393458</v>
      </c>
      <c r="AH17" s="158">
        <f>SUM(AH18:AH33)</f>
        <v>431113.5</v>
      </c>
      <c r="AI17" s="183">
        <f>SUM(AI18:AI33)</f>
        <v>468957.86750000011</v>
      </c>
      <c r="AJ17" s="158">
        <f>SUM(AJ18:AJ33)</f>
        <v>513429.40401250013</v>
      </c>
      <c r="AK17" s="160">
        <f>SUM(AK18:AK33)</f>
        <v>562102.17017268774</v>
      </c>
      <c r="AN17" s="207" t="s">
        <v>59</v>
      </c>
      <c r="AQ17" s="476">
        <f>AG17</f>
        <v>393458</v>
      </c>
      <c r="AR17" s="190">
        <f t="shared" si="9"/>
        <v>0.27805433061962914</v>
      </c>
      <c r="AS17" s="476">
        <f>AH17</f>
        <v>431113.5</v>
      </c>
      <c r="AT17" s="194">
        <f>AS17/AS$14</f>
        <v>0.27696839922289379</v>
      </c>
      <c r="AU17" s="472">
        <f>AI17</f>
        <v>468957.86750000011</v>
      </c>
      <c r="AV17" s="194">
        <f t="shared" ref="AV17:AV28" si="15">AU17/AU$14</f>
        <v>0.27389224724190847</v>
      </c>
      <c r="AW17" s="476">
        <f>+AJ17</f>
        <v>513429.40401250013</v>
      </c>
      <c r="AX17" s="194">
        <f t="shared" ref="AX17:AX28" si="16">AW17/AW$14</f>
        <v>0.2726050927554467</v>
      </c>
      <c r="AY17" s="476">
        <f>+AK17</f>
        <v>562102.17017268774</v>
      </c>
      <c r="AZ17" s="199">
        <f t="shared" ref="AZ17:AZ28" si="17">AY17/AY$14</f>
        <v>0.27131624937659177</v>
      </c>
      <c r="BC17" s="257" t="s">
        <v>165</v>
      </c>
      <c r="BD17" s="253"/>
      <c r="BE17" s="253"/>
      <c r="BF17" s="253"/>
      <c r="BG17" s="264">
        <f>BG12+BG16</f>
        <v>863917.20333333337</v>
      </c>
      <c r="BH17" s="264">
        <f t="shared" ref="BH17:BI17" si="18">BH12+BH16</f>
        <v>964261.59666666668</v>
      </c>
      <c r="BI17" s="265">
        <f t="shared" si="18"/>
        <v>1053809.9358333335</v>
      </c>
      <c r="BJ17" s="264" t="e">
        <f t="shared" ref="BJ17:BK17" si="19">BJ12+BJ16</f>
        <v>#REF!</v>
      </c>
      <c r="BK17" s="266" t="e">
        <f t="shared" si="19"/>
        <v>#REF!</v>
      </c>
      <c r="BN17" s="85" t="s">
        <v>169</v>
      </c>
      <c r="BR17" s="164">
        <f>AQ45</f>
        <v>49706.28</v>
      </c>
      <c r="BS17" s="164">
        <f>AS45</f>
        <v>49706.28</v>
      </c>
      <c r="BT17" s="166">
        <f>AU45</f>
        <v>49706.28</v>
      </c>
      <c r="BU17" s="164">
        <f>AW45</f>
        <v>49706.28</v>
      </c>
      <c r="BV17" s="171">
        <f>AY45</f>
        <v>49706.28</v>
      </c>
      <c r="BY17" s="85" t="s">
        <v>173</v>
      </c>
      <c r="CB17" s="164">
        <f>BR21</f>
        <v>0</v>
      </c>
      <c r="CC17" s="164"/>
      <c r="CD17" s="164"/>
      <c r="CE17" s="164"/>
      <c r="CF17" s="171"/>
      <c r="CI17" s="483"/>
      <c r="CJ17" s="484"/>
      <c r="CK17" s="484"/>
      <c r="CL17" s="484"/>
      <c r="CM17" s="484"/>
      <c r="CN17" s="484"/>
      <c r="CO17" s="485"/>
      <c r="CP17" s="486">
        <f t="shared" si="8"/>
        <v>0</v>
      </c>
    </row>
    <row r="18" spans="2:94" ht="15" customHeight="1">
      <c r="B18" s="619"/>
      <c r="C18" s="620"/>
      <c r="D18" s="620"/>
      <c r="E18" s="620"/>
      <c r="F18" s="620"/>
      <c r="G18" s="620"/>
      <c r="H18" s="621"/>
      <c r="K18" s="40" t="str">
        <f>'Données à saisir'!A23</f>
        <v>Achat fonds de commerce ou parts</v>
      </c>
      <c r="Q18" s="185" t="str">
        <f>IF(ISBLANK('Données à saisir'!B23),"",'Données à saisir'!B23)</f>
        <v/>
      </c>
      <c r="T18" s="35"/>
      <c r="X18" s="158"/>
      <c r="Y18" s="158"/>
      <c r="Z18" s="159"/>
      <c r="AC18" s="40" t="str">
        <f>'Données à saisir'!A78</f>
        <v>Assurances</v>
      </c>
      <c r="AG18" s="155">
        <f>IF(ISBLANK('Données à saisir'!B78),0,'Données à saisir'!B78)</f>
        <v>16380</v>
      </c>
      <c r="AH18" s="155">
        <f>IF(ISBLANK('Données à saisir'!C78),0,'Données à saisir'!C78)</f>
        <v>18018</v>
      </c>
      <c r="AI18" s="213">
        <f>IF(ISBLANK('Données à saisir'!D78),0,'Données à saisir'!D78)</f>
        <v>19819.800000000003</v>
      </c>
      <c r="AJ18" s="155">
        <f>IF(ISBLANK('Données à saisir'!E78),0,'Données à saisir'!E78)</f>
        <v>21801.780000000006</v>
      </c>
      <c r="AK18" s="187">
        <f>IF(ISBLANK('Données à saisir'!F78),0,'Données à saisir'!F78)</f>
        <v>23981.95800000001</v>
      </c>
      <c r="AN18" s="208" t="s">
        <v>102</v>
      </c>
      <c r="AO18" s="52"/>
      <c r="AP18" s="52"/>
      <c r="AQ18" s="477">
        <f>AQ16-AQ17</f>
        <v>942968.66666666674</v>
      </c>
      <c r="AR18" s="258">
        <f t="shared" si="9"/>
        <v>0.66639011382481539</v>
      </c>
      <c r="AS18" s="477">
        <f t="shared" ref="AS18:AU18" si="20">AS16-AS17</f>
        <v>1038955.8333333333</v>
      </c>
      <c r="AT18" s="259">
        <f t="shared" ref="AT18:AT28" si="21">AS18/AS$14</f>
        <v>0.66747604522155057</v>
      </c>
      <c r="AU18" s="473">
        <f t="shared" si="20"/>
        <v>1148118.3991666664</v>
      </c>
      <c r="AV18" s="259">
        <f t="shared" si="15"/>
        <v>0.67055219720253589</v>
      </c>
      <c r="AW18" s="477">
        <f t="shared" ref="AW18" si="22">AW16-AW17</f>
        <v>1265354.4893208332</v>
      </c>
      <c r="AX18" s="259">
        <f t="shared" si="16"/>
        <v>0.67183935168899778</v>
      </c>
      <c r="AY18" s="477">
        <f t="shared" ref="AY18" si="23">AY16-AY17</f>
        <v>1394560.1124939788</v>
      </c>
      <c r="AZ18" s="260">
        <f t="shared" si="17"/>
        <v>0.6731281950678526</v>
      </c>
      <c r="BC18" s="85" t="s">
        <v>152</v>
      </c>
      <c r="BG18" s="164">
        <f>AG44</f>
        <v>551122.79666666675</v>
      </c>
      <c r="BH18" s="164">
        <f>AH44</f>
        <v>592282.4033333332</v>
      </c>
      <c r="BI18" s="165">
        <f>AI44</f>
        <v>658388.4641666665</v>
      </c>
      <c r="BJ18" s="164" t="e">
        <f>AJ44</f>
        <v>#REF!</v>
      </c>
      <c r="BK18" s="171" t="e">
        <f>AK44</f>
        <v>#REF!</v>
      </c>
      <c r="BN18" s="51" t="s">
        <v>167</v>
      </c>
      <c r="BO18" s="253"/>
      <c r="BP18" s="253"/>
      <c r="BQ18" s="253"/>
      <c r="BR18" s="279">
        <f>SUM(BR14:BR17)</f>
        <v>279388.19780821912</v>
      </c>
      <c r="BS18" s="280">
        <f>SUM(BS14:BS17)</f>
        <v>60044.471780821928</v>
      </c>
      <c r="BT18" s="281">
        <f>SUM(BT14:BT17)</f>
        <v>61078.290958904108</v>
      </c>
      <c r="BU18" s="280">
        <f>SUM(BU14:BU17)</f>
        <v>62215.492054794537</v>
      </c>
      <c r="BV18" s="282">
        <f>SUM(BV14:BV17)</f>
        <v>63466.413260273956</v>
      </c>
      <c r="BY18" s="85" t="s">
        <v>174</v>
      </c>
      <c r="CB18" s="164" t="str">
        <f>BR22</f>
        <v/>
      </c>
      <c r="CC18" s="164"/>
      <c r="CD18" s="164"/>
      <c r="CE18" s="164"/>
      <c r="CF18" s="171"/>
      <c r="CI18" s="483"/>
      <c r="CJ18" s="484"/>
      <c r="CK18" s="484"/>
      <c r="CL18" s="484"/>
      <c r="CM18" s="484"/>
      <c r="CN18" s="484"/>
      <c r="CO18" s="485"/>
      <c r="CP18" s="486">
        <f t="shared" si="8"/>
        <v>0</v>
      </c>
    </row>
    <row r="19" spans="2:94" ht="15" customHeight="1">
      <c r="B19" s="619"/>
      <c r="C19" s="620"/>
      <c r="D19" s="620"/>
      <c r="E19" s="620"/>
      <c r="F19" s="620"/>
      <c r="G19" s="620"/>
      <c r="H19" s="621"/>
      <c r="K19" s="40" t="str">
        <f>'Données à saisir'!A24</f>
        <v>Droit au bail</v>
      </c>
      <c r="Q19" s="185" t="str">
        <f>IF(ISBLANK('Données à saisir'!B24),"",'Données à saisir'!B24)</f>
        <v/>
      </c>
      <c r="T19" s="45" t="s">
        <v>119</v>
      </c>
      <c r="U19" s="46"/>
      <c r="V19" s="46"/>
      <c r="W19" s="46"/>
      <c r="X19" s="151">
        <f>'Données à saisir'!B136</f>
        <v>222184</v>
      </c>
      <c r="Y19" s="151">
        <f>'Données à saisir'!C136</f>
        <v>255511.59999999998</v>
      </c>
      <c r="Z19" s="151">
        <f>'Données à saisir'!D136</f>
        <v>281062.76</v>
      </c>
      <c r="AC19" s="40" t="str">
        <f>'Données à saisir'!A79</f>
        <v>Abonnement (téléphone...)</v>
      </c>
      <c r="AG19" s="155">
        <f>IF(ISBLANK('Données à saisir'!B79),0,'Données à saisir'!B79)</f>
        <v>468</v>
      </c>
      <c r="AH19" s="155">
        <f>IF(ISBLANK('Données à saisir'!C79),0,'Données à saisir'!C79)</f>
        <v>468</v>
      </c>
      <c r="AI19" s="213">
        <f>IF(ISBLANK('Données à saisir'!D79),0,'Données à saisir'!D79)</f>
        <v>468</v>
      </c>
      <c r="AJ19" s="155">
        <f>IF(ISBLANK('Données à saisir'!E79),0,'Données à saisir'!E79)</f>
        <v>468</v>
      </c>
      <c r="AK19" s="187">
        <f>IF(ISBLANK('Données à saisir'!F79),0,'Données à saisir'!F79)</f>
        <v>468</v>
      </c>
      <c r="AN19" s="206" t="s">
        <v>60</v>
      </c>
      <c r="AO19" s="1"/>
      <c r="AP19" s="1"/>
      <c r="AQ19" s="476">
        <f>AG36</f>
        <v>1900</v>
      </c>
      <c r="AR19" s="190">
        <f t="shared" si="9"/>
        <v>1.3427182270465852E-3</v>
      </c>
      <c r="AS19" s="476">
        <f>AH36</f>
        <v>2100</v>
      </c>
      <c r="AT19" s="194">
        <f t="shared" si="21"/>
        <v>1.34914271617121E-3</v>
      </c>
      <c r="AU19" s="472">
        <f>AI36</f>
        <v>2110</v>
      </c>
      <c r="AV19" s="194">
        <f t="shared" si="15"/>
        <v>1.2323338229962137E-3</v>
      </c>
      <c r="AW19" s="476">
        <f>+AJ36</f>
        <v>2130</v>
      </c>
      <c r="AX19" s="194">
        <f t="shared" si="16"/>
        <v>1.1309224657397392E-3</v>
      </c>
      <c r="AY19" s="476">
        <f>+AK36</f>
        <v>2150</v>
      </c>
      <c r="AZ19" s="199">
        <f t="shared" si="17"/>
        <v>1.0377649600257957E-3</v>
      </c>
      <c r="BC19" s="257" t="s">
        <v>166</v>
      </c>
      <c r="BD19" s="253"/>
      <c r="BE19" s="253"/>
      <c r="BF19" s="253"/>
      <c r="BG19" s="264">
        <f>IF(ISERROR(BG16/BG15),0,BG16/BG15)</f>
        <v>831498.21529411757</v>
      </c>
      <c r="BH19" s="264">
        <f t="shared" ref="BH19:BI19" si="24">IF(ISERROR(BH16/BH15),0,BH16/BH15)</f>
        <v>929421.45529411768</v>
      </c>
      <c r="BI19" s="265">
        <f t="shared" si="24"/>
        <v>1015081.202647059</v>
      </c>
      <c r="BJ19" s="264">
        <f t="shared" ref="BJ19:BK19" si="25">IF(ISERROR(BJ16/BJ15),0,BJ16/BJ15)</f>
        <v>0</v>
      </c>
      <c r="BK19" s="266">
        <f t="shared" si="25"/>
        <v>0</v>
      </c>
      <c r="BN19" s="85" t="s">
        <v>171</v>
      </c>
      <c r="BR19" s="164">
        <f>Q37</f>
        <v>38800</v>
      </c>
      <c r="BS19" s="164"/>
      <c r="BT19" s="165"/>
      <c r="BU19" s="164"/>
      <c r="BV19" s="171"/>
      <c r="BY19" s="110" t="s">
        <v>302</v>
      </c>
      <c r="BZ19" s="32"/>
      <c r="CA19" s="32"/>
      <c r="CB19" s="163">
        <f>'Données à saisir'!D104</f>
        <v>117920</v>
      </c>
      <c r="CC19" s="163">
        <f>'Données à saisir'!D105</f>
        <v>117920</v>
      </c>
      <c r="CD19" s="163">
        <f>'Données à saisir'!D106</f>
        <v>117920</v>
      </c>
      <c r="CE19" s="163">
        <f>'Données à saisir'!D107</f>
        <v>117920</v>
      </c>
      <c r="CF19" s="181">
        <f>'Données à saisir'!D108</f>
        <v>117920</v>
      </c>
      <c r="CI19" s="487">
        <f>'Données à saisir'!D109</f>
        <v>117920</v>
      </c>
      <c r="CJ19" s="488">
        <f>'Données à saisir'!D110</f>
        <v>117920</v>
      </c>
      <c r="CK19" s="488">
        <f>'Données à saisir'!D111</f>
        <v>117920</v>
      </c>
      <c r="CL19" s="488">
        <f>'Données à saisir'!D112</f>
        <v>117920</v>
      </c>
      <c r="CM19" s="488">
        <f>'Données à saisir'!D113</f>
        <v>117920</v>
      </c>
      <c r="CN19" s="488">
        <f>'Données à saisir'!D114</f>
        <v>117920</v>
      </c>
      <c r="CO19" s="489">
        <f>'Données à saisir'!D115</f>
        <v>117920</v>
      </c>
      <c r="CP19" s="490">
        <f>SUM(CB19:CO19)</f>
        <v>1415040</v>
      </c>
    </row>
    <row r="20" spans="2:94" ht="15" customHeight="1">
      <c r="B20" s="619"/>
      <c r="C20" s="620"/>
      <c r="D20" s="620"/>
      <c r="E20" s="620"/>
      <c r="F20" s="620"/>
      <c r="G20" s="620"/>
      <c r="H20" s="621"/>
      <c r="K20" s="40" t="str">
        <f>'Données à saisir'!A25</f>
        <v>Caution ou dépôt de garantie</v>
      </c>
      <c r="Q20" s="185" t="str">
        <f>IF(ISBLANK('Données à saisir'!B25),"",'Données à saisir'!B25)</f>
        <v/>
      </c>
      <c r="T20" s="40"/>
      <c r="U20" s="3" t="s">
        <v>118</v>
      </c>
      <c r="X20" s="155"/>
      <c r="Y20" s="156">
        <f>IF(ISERROR((Y19-X19)/X19),"",(Y19-X19)/X19)</f>
        <v>0.14999999999999988</v>
      </c>
      <c r="Z20" s="156">
        <f>IF(ISERROR((Z19-Y19)/Y19),"",(Z19-Y19)/Y19)</f>
        <v>0.10000000000000013</v>
      </c>
      <c r="AC20" s="40" t="str">
        <f>'Données à saisir'!A80</f>
        <v xml:space="preserve">Location de matériel </v>
      </c>
      <c r="AG20" s="155">
        <f>IF(ISBLANK('Données à saisir'!B80),0,'Données à saisir'!B80)</f>
        <v>105630</v>
      </c>
      <c r="AH20" s="155">
        <f>IF(ISBLANK('Données à saisir'!C80),0,'Données à saisir'!C80)</f>
        <v>116193.00000000001</v>
      </c>
      <c r="AI20" s="213">
        <f>IF(ISBLANK('Données à saisir'!D80),0,'Données à saisir'!D80)</f>
        <v>127812.30000000003</v>
      </c>
      <c r="AJ20" s="155">
        <f>IF(ISBLANK('Données à saisir'!E80),0,'Données à saisir'!E80)</f>
        <v>140593.53000000006</v>
      </c>
      <c r="AK20" s="187">
        <f>IF(ISBLANK('Données à saisir'!F80),0,'Données à saisir'!F80)</f>
        <v>154652.88300000009</v>
      </c>
      <c r="AN20" s="206" t="s">
        <v>130</v>
      </c>
      <c r="AO20" s="1"/>
      <c r="AP20" s="1"/>
      <c r="AQ20" s="476">
        <f>SUM(AG37:AG40)</f>
        <v>350230</v>
      </c>
      <c r="AR20" s="190">
        <f t="shared" si="9"/>
        <v>0.24750537087290819</v>
      </c>
      <c r="AS20" s="476">
        <f>SUM(AH37:AH40)</f>
        <v>406389.5</v>
      </c>
      <c r="AT20" s="194">
        <f t="shared" si="21"/>
        <v>0.26108449231117142</v>
      </c>
      <c r="AU20" s="472">
        <f>SUM(AI37:AI40)</f>
        <v>452828.45</v>
      </c>
      <c r="AV20" s="194">
        <f t="shared" si="15"/>
        <v>0.26447195021324632</v>
      </c>
      <c r="AW20" s="476" t="e">
        <f>SUM(AJ37:AJ40)</f>
        <v>#REF!</v>
      </c>
      <c r="AX20" s="194" t="e">
        <f t="shared" si="16"/>
        <v>#REF!</v>
      </c>
      <c r="AY20" s="476" t="e">
        <f>SUM(AK37:AK40)</f>
        <v>#REF!</v>
      </c>
      <c r="AZ20" s="199" t="e">
        <f t="shared" si="17"/>
        <v>#REF!</v>
      </c>
      <c r="BC20" s="85" t="s">
        <v>153</v>
      </c>
      <c r="BG20" s="164">
        <f>BG11-BG19</f>
        <v>583541.78470588243</v>
      </c>
      <c r="BH20" s="164">
        <f t="shared" ref="BH20:BI20" si="26">BH11-BH19</f>
        <v>627122.54470588232</v>
      </c>
      <c r="BI20" s="166">
        <f t="shared" si="26"/>
        <v>697117.19735294092</v>
      </c>
      <c r="BJ20" s="164">
        <f t="shared" ref="BJ20:BK20" si="27">BJ11-BJ19</f>
        <v>1883418.24</v>
      </c>
      <c r="BK20" s="171">
        <f t="shared" si="27"/>
        <v>2071760.064</v>
      </c>
      <c r="BN20" s="85" t="s">
        <v>172</v>
      </c>
      <c r="BR20" s="164">
        <f>Q40</f>
        <v>300000</v>
      </c>
      <c r="BS20" s="164"/>
      <c r="BT20" s="165"/>
      <c r="BU20" s="164"/>
      <c r="BV20" s="171"/>
      <c r="BY20" s="85" t="s">
        <v>182</v>
      </c>
      <c r="CB20" s="164">
        <f>'Données à saisir'!I104</f>
        <v>0</v>
      </c>
      <c r="CC20" s="164">
        <f>'Données à saisir'!I105</f>
        <v>0</v>
      </c>
      <c r="CD20" s="164">
        <f>'Données à saisir'!I106</f>
        <v>0</v>
      </c>
      <c r="CE20" s="164">
        <f>'Données à saisir'!I107</f>
        <v>0</v>
      </c>
      <c r="CF20" s="182">
        <f>'Données à saisir'!I108</f>
        <v>0</v>
      </c>
      <c r="CI20" s="483">
        <f>'Données à saisir'!I109</f>
        <v>0</v>
      </c>
      <c r="CJ20" s="484">
        <f>'Données à saisir'!I110</f>
        <v>0</v>
      </c>
      <c r="CK20" s="484">
        <f>'Données à saisir'!I111</f>
        <v>0</v>
      </c>
      <c r="CL20" s="484">
        <f>'Données à saisir'!I112</f>
        <v>0</v>
      </c>
      <c r="CM20" s="484">
        <f>'Données à saisir'!I113</f>
        <v>0</v>
      </c>
      <c r="CN20" s="484">
        <f>'Données à saisir'!I114</f>
        <v>0</v>
      </c>
      <c r="CO20" s="485">
        <f>'Données à saisir'!I115</f>
        <v>0</v>
      </c>
      <c r="CP20" s="486">
        <f t="shared" ref="CP20:CP24" si="28">SUM(CB20:CO20)</f>
        <v>0</v>
      </c>
    </row>
    <row r="21" spans="2:94" ht="15" customHeight="1">
      <c r="B21" s="29"/>
      <c r="C21" s="19"/>
      <c r="D21" s="19"/>
      <c r="E21" s="19"/>
      <c r="F21" s="19"/>
      <c r="G21" s="19"/>
      <c r="H21" s="30"/>
      <c r="K21" s="40" t="str">
        <f>'Données à saisir'!A26</f>
        <v>Frais de dossier</v>
      </c>
      <c r="Q21" s="185" t="str">
        <f>IF(ISBLANK('Données à saisir'!B26),"",'Données à saisir'!B26)</f>
        <v/>
      </c>
      <c r="T21" s="35" t="s">
        <v>120</v>
      </c>
      <c r="X21" s="158">
        <f>X19*0.25</f>
        <v>55546</v>
      </c>
      <c r="Y21" s="158">
        <f>Y19*0.25</f>
        <v>63877.899999999994</v>
      </c>
      <c r="Z21" s="158">
        <f>Z19*0.25</f>
        <v>70265.69</v>
      </c>
      <c r="AC21" s="40" t="str">
        <f>'Données à saisir'!A81</f>
        <v>Divers frais de mise en service</v>
      </c>
      <c r="AG21" s="155">
        <f>IF(ISBLANK('Données à saisir'!B81),0,'Données à saisir'!B81)</f>
        <v>2500</v>
      </c>
      <c r="AH21" s="155">
        <f>IF(ISBLANK('Données à saisir'!C81),0,'Données à saisir'!C81)</f>
        <v>3000</v>
      </c>
      <c r="AI21" s="213">
        <f>IF(ISBLANK('Données à saisir'!D81),0,'Données à saisir'!D81)</f>
        <v>0</v>
      </c>
      <c r="AJ21" s="155">
        <f>IF(ISBLANK('Données à saisir'!E81),0,'Données à saisir'!E81)</f>
        <v>0</v>
      </c>
      <c r="AK21" s="187">
        <f>IF(ISBLANK('Données à saisir'!F81),0,'Données à saisir'!F81)</f>
        <v>0</v>
      </c>
      <c r="AN21" s="208" t="s">
        <v>103</v>
      </c>
      <c r="AO21" s="52"/>
      <c r="AP21" s="52"/>
      <c r="AQ21" s="477">
        <f>AQ18-AQ19-AQ20</f>
        <v>590838.66666666674</v>
      </c>
      <c r="AR21" s="258">
        <f t="shared" si="9"/>
        <v>0.41754202472486063</v>
      </c>
      <c r="AS21" s="477">
        <f t="shared" ref="AS21:AU21" si="29">AS18-AS19-AS20</f>
        <v>630466.33333333326</v>
      </c>
      <c r="AT21" s="259">
        <f t="shared" si="21"/>
        <v>0.40504241019420795</v>
      </c>
      <c r="AU21" s="473">
        <f t="shared" si="29"/>
        <v>693179.94916666648</v>
      </c>
      <c r="AV21" s="259">
        <f t="shared" si="15"/>
        <v>0.40484791316629343</v>
      </c>
      <c r="AW21" s="477" t="e">
        <f t="shared" ref="AW21" si="30">AW18-AW19-AW20</f>
        <v>#REF!</v>
      </c>
      <c r="AX21" s="259" t="e">
        <f t="shared" si="16"/>
        <v>#REF!</v>
      </c>
      <c r="AY21" s="477" t="e">
        <f t="shared" ref="AY21" si="31">AY18-AY19-AY20</f>
        <v>#REF!</v>
      </c>
      <c r="AZ21" s="260" t="e">
        <f t="shared" si="17"/>
        <v>#REF!</v>
      </c>
      <c r="BC21" s="118" t="s">
        <v>154</v>
      </c>
      <c r="BD21" s="34"/>
      <c r="BE21" s="34"/>
      <c r="BF21" s="34"/>
      <c r="BG21" s="167">
        <f>BG19/(BG11/250)</f>
        <v>146.90365913580493</v>
      </c>
      <c r="BH21" s="167">
        <f>BH19/(BH11/250)</f>
        <v>149.27645079325058</v>
      </c>
      <c r="BI21" s="169">
        <f>BI19/(BI11/250)</f>
        <v>148.21313970493418</v>
      </c>
      <c r="BJ21" s="167">
        <f>BJ19/(BJ11/250)</f>
        <v>0</v>
      </c>
      <c r="BK21" s="172">
        <f>BK19/(BK11/250)</f>
        <v>0</v>
      </c>
      <c r="BN21" s="85" t="s">
        <v>173</v>
      </c>
      <c r="BR21" s="164">
        <f>Q44+Q45</f>
        <v>0</v>
      </c>
      <c r="BS21" s="164"/>
      <c r="BT21" s="165"/>
      <c r="BU21" s="164"/>
      <c r="BV21" s="171"/>
      <c r="BY21" s="257" t="s">
        <v>183</v>
      </c>
      <c r="BZ21" s="253"/>
      <c r="CA21" s="253"/>
      <c r="CB21" s="264">
        <f>SUM(CB19:CB20)</f>
        <v>117920</v>
      </c>
      <c r="CC21" s="264">
        <f t="shared" ref="CC21:CF21" si="32">SUM(CC19:CC20)</f>
        <v>117920</v>
      </c>
      <c r="CD21" s="264">
        <f t="shared" si="32"/>
        <v>117920</v>
      </c>
      <c r="CE21" s="264">
        <f t="shared" si="32"/>
        <v>117920</v>
      </c>
      <c r="CF21" s="266">
        <f t="shared" si="32"/>
        <v>117920</v>
      </c>
      <c r="CI21" s="491">
        <f t="shared" ref="CI21:CO21" si="33">SUM(CI19:CI20)</f>
        <v>117920</v>
      </c>
      <c r="CJ21" s="492">
        <f t="shared" si="33"/>
        <v>117920</v>
      </c>
      <c r="CK21" s="492">
        <f t="shared" si="33"/>
        <v>117920</v>
      </c>
      <c r="CL21" s="492">
        <f t="shared" si="33"/>
        <v>117920</v>
      </c>
      <c r="CM21" s="492">
        <f t="shared" si="33"/>
        <v>117920</v>
      </c>
      <c r="CN21" s="492">
        <f t="shared" si="33"/>
        <v>117920</v>
      </c>
      <c r="CO21" s="493">
        <f t="shared" si="33"/>
        <v>117920</v>
      </c>
      <c r="CP21" s="494">
        <f t="shared" si="28"/>
        <v>1415040</v>
      </c>
    </row>
    <row r="22" spans="2:94" ht="15" customHeight="1">
      <c r="B22" s="24"/>
      <c r="H22" s="25"/>
      <c r="K22" s="40" t="str">
        <f>'Données à saisir'!A27</f>
        <v>Frais de notaire ou d’avocat</v>
      </c>
      <c r="Q22" s="185" t="str">
        <f>IF(ISBLANK('Données à saisir'!B27),"",'Données à saisir'!B27)</f>
        <v/>
      </c>
      <c r="T22" s="76"/>
      <c r="U22" s="34"/>
      <c r="V22" s="34"/>
      <c r="W22" s="34"/>
      <c r="X22" s="161"/>
      <c r="Y22" s="161"/>
      <c r="Z22" s="161"/>
      <c r="AC22" s="40" t="str">
        <f>'Données à saisir'!A82</f>
        <v>Electricité</v>
      </c>
      <c r="AG22" s="155">
        <f>IF(ISBLANK('Données à saisir'!B82),0,'Données à saisir'!B82)</f>
        <v>1230</v>
      </c>
      <c r="AH22" s="155">
        <f>IF(ISBLANK('Données à saisir'!C82),0,'Données à saisir'!C82)</f>
        <v>1310</v>
      </c>
      <c r="AI22" s="213">
        <f>IF(ISBLANK('Données à saisir'!D82),0,'Données à saisir'!D82)</f>
        <v>1340</v>
      </c>
      <c r="AJ22" s="155">
        <f>IF(ISBLANK('Données à saisir'!E82),0,'Données à saisir'!E82)</f>
        <v>1350</v>
      </c>
      <c r="AK22" s="187">
        <f>IF(ISBLANK('Données à saisir'!F82),0,'Données à saisir'!F82)</f>
        <v>1370</v>
      </c>
      <c r="AN22" s="206" t="s">
        <v>243</v>
      </c>
      <c r="AQ22" s="476">
        <f>AG43</f>
        <v>25260</v>
      </c>
      <c r="AR22" s="190">
        <f t="shared" si="9"/>
        <v>1.7851085481682495E-2</v>
      </c>
      <c r="AS22" s="476">
        <f>AH43</f>
        <v>25260</v>
      </c>
      <c r="AT22" s="194">
        <f t="shared" si="21"/>
        <v>1.6228259528802271E-2</v>
      </c>
      <c r="AU22" s="472">
        <f>AI43</f>
        <v>25260</v>
      </c>
      <c r="AV22" s="194">
        <f t="shared" si="15"/>
        <v>1.4752963208002064E-2</v>
      </c>
      <c r="AW22" s="476" t="e">
        <f>AJ43</f>
        <v>#REF!</v>
      </c>
      <c r="AX22" s="194" t="e">
        <f t="shared" si="16"/>
        <v>#REF!</v>
      </c>
      <c r="AY22" s="476" t="e">
        <f>AK43</f>
        <v>#REF!</v>
      </c>
      <c r="AZ22" s="199" t="e">
        <f t="shared" si="17"/>
        <v>#REF!</v>
      </c>
      <c r="BG22" s="66"/>
      <c r="BN22" s="85" t="s">
        <v>174</v>
      </c>
      <c r="BR22" s="164" t="str">
        <f>Q46</f>
        <v/>
      </c>
      <c r="BS22" s="164"/>
      <c r="BT22" s="165"/>
      <c r="BU22" s="164"/>
      <c r="BV22" s="171"/>
      <c r="BY22" s="85" t="s">
        <v>53</v>
      </c>
      <c r="CB22" s="164">
        <f>Q12</f>
        <v>0</v>
      </c>
      <c r="CC22" s="158"/>
      <c r="CD22" s="158"/>
      <c r="CE22" s="158"/>
      <c r="CF22" s="162"/>
      <c r="CI22" s="483"/>
      <c r="CJ22" s="495"/>
      <c r="CK22" s="484"/>
      <c r="CL22" s="484"/>
      <c r="CM22" s="495"/>
      <c r="CN22" s="495"/>
      <c r="CO22" s="496"/>
      <c r="CP22" s="486">
        <f t="shared" si="28"/>
        <v>0</v>
      </c>
    </row>
    <row r="23" spans="2:94" ht="15" customHeight="1">
      <c r="B23" s="24"/>
      <c r="C23" s="618" t="str">
        <f>IF(ISBLANK('Données à saisir'!B7),"",('Données à saisir'!B7))</f>
        <v xml:space="preserve">MALEK KAMEL </v>
      </c>
      <c r="D23" s="618"/>
      <c r="E23" s="618"/>
      <c r="F23" s="618"/>
      <c r="G23" s="618"/>
      <c r="H23" s="25"/>
      <c r="K23" s="36" t="s">
        <v>51</v>
      </c>
      <c r="Q23" s="184">
        <f>SUM(Q24:Q28)</f>
        <v>126300</v>
      </c>
      <c r="AC23" s="40" t="str">
        <f>'Données à saisir'!A83</f>
        <v>Carburant</v>
      </c>
      <c r="AG23" s="155">
        <f>IF(ISBLANK('Données à saisir'!B83),0,'Données à saisir'!B83)</f>
        <v>186300</v>
      </c>
      <c r="AH23" s="155">
        <f>IF(ISBLANK('Données à saisir'!C83),0,'Données à saisir'!C83)</f>
        <v>204930.00000000003</v>
      </c>
      <c r="AI23" s="213">
        <f>IF(ISBLANK('Données à saisir'!D83),0,'Données à saisir'!D83)</f>
        <v>225423.00000000006</v>
      </c>
      <c r="AJ23" s="155">
        <f>IF(ISBLANK('Données à saisir'!E83),0,'Données à saisir'!E83)</f>
        <v>247965.30000000008</v>
      </c>
      <c r="AK23" s="187">
        <f>IF(ISBLANK('Données à saisir'!F83),0,'Données à saisir'!F83)</f>
        <v>272761.83000000013</v>
      </c>
      <c r="AN23" s="208" t="s">
        <v>132</v>
      </c>
      <c r="AO23" s="52"/>
      <c r="AP23" s="52"/>
      <c r="AQ23" s="477">
        <f>AQ21-AQ22</f>
        <v>565578.66666666674</v>
      </c>
      <c r="AR23" s="258">
        <f t="shared" si="9"/>
        <v>0.39969093924317811</v>
      </c>
      <c r="AS23" s="477">
        <f t="shared" ref="AS23:AU23" si="34">AS21-AS22</f>
        <v>605206.33333333326</v>
      </c>
      <c r="AT23" s="259">
        <f t="shared" si="21"/>
        <v>0.3888141506654057</v>
      </c>
      <c r="AU23" s="473">
        <f t="shared" si="34"/>
        <v>667919.94916666648</v>
      </c>
      <c r="AV23" s="259">
        <f t="shared" si="15"/>
        <v>0.39009494995829136</v>
      </c>
      <c r="AW23" s="477" t="e">
        <f t="shared" ref="AW23" si="35">AW21-AW22</f>
        <v>#REF!</v>
      </c>
      <c r="AX23" s="259" t="e">
        <f t="shared" si="16"/>
        <v>#REF!</v>
      </c>
      <c r="AY23" s="477" t="e">
        <f t="shared" ref="AY23" si="36">AY21-AY22</f>
        <v>#REF!</v>
      </c>
      <c r="AZ23" s="260" t="e">
        <f t="shared" si="17"/>
        <v>#REF!</v>
      </c>
      <c r="BC23" s="4"/>
      <c r="BG23" s="73"/>
      <c r="BH23" s="73"/>
      <c r="BI23" s="73"/>
      <c r="BJ23" s="73"/>
      <c r="BK23" s="73"/>
      <c r="BN23" s="85" t="s">
        <v>175</v>
      </c>
      <c r="BR23" s="164">
        <f>AQ44</f>
        <v>442912.09750000003</v>
      </c>
      <c r="BS23" s="164">
        <f>AS44</f>
        <v>473781.80249999987</v>
      </c>
      <c r="BT23" s="165">
        <f>AU44</f>
        <v>523361.3481249999</v>
      </c>
      <c r="BU23" s="164" t="e">
        <f>AW44</f>
        <v>#REF!</v>
      </c>
      <c r="BV23" s="171" t="e">
        <f>AY44</f>
        <v>#REF!</v>
      </c>
      <c r="BY23" s="85" t="s">
        <v>51</v>
      </c>
      <c r="CB23" s="164">
        <f>Q23</f>
        <v>126300</v>
      </c>
      <c r="CC23" s="164"/>
      <c r="CD23" s="164"/>
      <c r="CE23" s="164"/>
      <c r="CF23" s="171"/>
      <c r="CI23" s="483"/>
      <c r="CJ23" s="484"/>
      <c r="CK23" s="484"/>
      <c r="CL23" s="484"/>
      <c r="CM23" s="484"/>
      <c r="CN23" s="484"/>
      <c r="CO23" s="485"/>
      <c r="CP23" s="486">
        <f t="shared" si="28"/>
        <v>126300</v>
      </c>
    </row>
    <row r="24" spans="2:94" ht="15" customHeight="1" thickBot="1">
      <c r="B24" s="24"/>
      <c r="C24" s="618"/>
      <c r="D24" s="618"/>
      <c r="E24" s="618"/>
      <c r="F24" s="618"/>
      <c r="G24" s="618"/>
      <c r="H24" s="25"/>
      <c r="K24" s="40" t="str">
        <f>'Données à saisir'!A28</f>
        <v>Enseigne et éléments de communication</v>
      </c>
      <c r="Q24" s="185" t="str">
        <f>IF(ISBLANK('Données à saisir'!B28),"",'Données à saisir'!B28)</f>
        <v/>
      </c>
      <c r="AC24" s="40" t="str">
        <f>'Données à saisir'!A84</f>
        <v>Mutuelle</v>
      </c>
      <c r="AG24" s="155">
        <f>IF(ISBLANK('Données à saisir'!B84),0,'Données à saisir'!B84)</f>
        <v>3600</v>
      </c>
      <c r="AH24" s="155">
        <f>IF(ISBLANK('Données à saisir'!C84),0,'Données à saisir'!C84)</f>
        <v>3700</v>
      </c>
      <c r="AI24" s="213">
        <f>IF(ISBLANK('Données à saisir'!D84),0,'Données à saisir'!D84)</f>
        <v>3860</v>
      </c>
      <c r="AJ24" s="155">
        <f>IF(ISBLANK('Données à saisir'!E84),0,'Données à saisir'!E84)</f>
        <v>3950</v>
      </c>
      <c r="AK24" s="187">
        <f>IF(ISBLANK('Données à saisir'!F84),0,'Données à saisir'!F84)</f>
        <v>4080</v>
      </c>
      <c r="AN24" s="206" t="s">
        <v>19</v>
      </c>
      <c r="AO24" s="1"/>
      <c r="AP24" s="1"/>
      <c r="AQ24" s="476">
        <f>AG42</f>
        <v>14455.87</v>
      </c>
      <c r="AR24" s="190">
        <f t="shared" si="9"/>
        <v>1.0215873756218906E-2</v>
      </c>
      <c r="AS24" s="476">
        <f>AH42</f>
        <v>12923.93</v>
      </c>
      <c r="AT24" s="194">
        <f t="shared" si="21"/>
        <v>8.3029647732412327E-3</v>
      </c>
      <c r="AU24" s="472">
        <f>AI42</f>
        <v>9531.4850000000006</v>
      </c>
      <c r="AV24" s="194">
        <f t="shared" si="15"/>
        <v>5.5668110658204104E-3</v>
      </c>
      <c r="AW24" s="476">
        <f>AJ42</f>
        <v>9657.7212500000005</v>
      </c>
      <c r="AX24" s="194">
        <f t="shared" si="16"/>
        <v>5.1277624082052007E-3</v>
      </c>
      <c r="AY24" s="476">
        <f>AK42</f>
        <v>7917.5593124999996</v>
      </c>
      <c r="AZ24" s="199">
        <f t="shared" si="17"/>
        <v>3.821658429506246E-3</v>
      </c>
      <c r="BN24" s="257" t="s">
        <v>176</v>
      </c>
      <c r="BO24" s="253"/>
      <c r="BP24" s="253"/>
      <c r="BQ24" s="253"/>
      <c r="BR24" s="264">
        <f>SUM(BR19:BR23)</f>
        <v>781712.09750000003</v>
      </c>
      <c r="BS24" s="264">
        <f>SUM(BS19:BS23)</f>
        <v>473781.80249999987</v>
      </c>
      <c r="BT24" s="265">
        <f>SUM(BT19:BT23)</f>
        <v>523361.3481249999</v>
      </c>
      <c r="BU24" s="264" t="e">
        <f>SUM(BU19:BU23)</f>
        <v>#REF!</v>
      </c>
      <c r="BV24" s="266" t="e">
        <f>SUM(BV19:BV23)</f>
        <v>#REF!</v>
      </c>
      <c r="BY24" s="257" t="s">
        <v>194</v>
      </c>
      <c r="BZ24" s="253"/>
      <c r="CA24" s="253"/>
      <c r="CB24" s="264">
        <f>SUM(CB22:CB23)</f>
        <v>126300</v>
      </c>
      <c r="CC24" s="264"/>
      <c r="CD24" s="264"/>
      <c r="CE24" s="264"/>
      <c r="CF24" s="266"/>
      <c r="CI24" s="491"/>
      <c r="CJ24" s="492"/>
      <c r="CK24" s="492"/>
      <c r="CL24" s="492"/>
      <c r="CM24" s="492"/>
      <c r="CN24" s="492"/>
      <c r="CO24" s="493"/>
      <c r="CP24" s="494">
        <f t="shared" si="28"/>
        <v>126300</v>
      </c>
    </row>
    <row r="25" spans="2:94" ht="15" customHeight="1">
      <c r="B25" s="24"/>
      <c r="C25" s="618"/>
      <c r="D25" s="618"/>
      <c r="E25" s="618"/>
      <c r="F25" s="618"/>
      <c r="G25" s="618"/>
      <c r="H25" s="25"/>
      <c r="K25" s="40" t="str">
        <f>'Données à saisir'!A29</f>
        <v>Mobilier et matériel informatique</v>
      </c>
      <c r="Q25" s="185">
        <f>IF(ISBLANK('Données à saisir'!B29),"",'Données à saisir'!B29)</f>
        <v>1300</v>
      </c>
      <c r="T25" s="603" t="s">
        <v>123</v>
      </c>
      <c r="U25" s="604"/>
      <c r="V25" s="604"/>
      <c r="W25" s="604"/>
      <c r="X25" s="604"/>
      <c r="Y25" s="604"/>
      <c r="Z25" s="604"/>
      <c r="AC25" s="40" t="str">
        <f>'Données à saisir'!A85</f>
        <v>Fournitures diverses</v>
      </c>
      <c r="AG25" s="155">
        <f>IF(ISBLANK('Données à saisir'!B85),0,'Données à saisir'!B85)</f>
        <v>920</v>
      </c>
      <c r="AH25" s="155">
        <f>IF(ISBLANK('Données à saisir'!C85),0,'Données à saisir'!C85)</f>
        <v>950</v>
      </c>
      <c r="AI25" s="213">
        <f>IF(ISBLANK('Données à saisir'!D85),0,'Données à saisir'!D85)</f>
        <v>970</v>
      </c>
      <c r="AJ25" s="155">
        <f>IF(ISBLANK('Données à saisir'!E85),0,'Données à saisir'!E85)</f>
        <v>990</v>
      </c>
      <c r="AK25" s="187">
        <f>IF(ISBLANK('Données à saisir'!F85),0,'Données à saisir'!F85)</f>
        <v>1030</v>
      </c>
      <c r="AN25" s="206" t="s">
        <v>133</v>
      </c>
      <c r="AO25" s="1"/>
      <c r="AP25" s="1"/>
      <c r="AQ25" s="476">
        <f>AQ24*-1</f>
        <v>-14455.87</v>
      </c>
      <c r="AR25" s="190">
        <f t="shared" si="9"/>
        <v>-1.0215873756218906E-2</v>
      </c>
      <c r="AS25" s="476">
        <f t="shared" ref="AS25:AU25" si="37">AS24*-1</f>
        <v>-12923.93</v>
      </c>
      <c r="AT25" s="194">
        <f t="shared" si="21"/>
        <v>-8.3029647732412327E-3</v>
      </c>
      <c r="AU25" s="472">
        <f t="shared" si="37"/>
        <v>-9531.4850000000006</v>
      </c>
      <c r="AV25" s="194">
        <f t="shared" si="15"/>
        <v>-5.5668110658204104E-3</v>
      </c>
      <c r="AW25" s="476">
        <f t="shared" ref="AW25" si="38">AW24*-1</f>
        <v>-9657.7212500000005</v>
      </c>
      <c r="AX25" s="194">
        <f t="shared" si="16"/>
        <v>-5.1277624082052007E-3</v>
      </c>
      <c r="AY25" s="476">
        <f t="shared" ref="AY25" si="39">AY24*-1</f>
        <v>-7917.5593124999996</v>
      </c>
      <c r="AZ25" s="199">
        <f t="shared" si="17"/>
        <v>-3.821658429506246E-3</v>
      </c>
      <c r="BG25" s="66"/>
      <c r="BN25" s="85" t="s">
        <v>177</v>
      </c>
      <c r="BR25" s="164">
        <f>BR24-BR18</f>
        <v>502323.89969178091</v>
      </c>
      <c r="BS25" s="164">
        <f>BS24-BS18</f>
        <v>413737.33071917796</v>
      </c>
      <c r="BT25" s="166">
        <f>BT24-BT18</f>
        <v>462283.05716609582</v>
      </c>
      <c r="BU25" s="164" t="e">
        <f>BU24-BU18</f>
        <v>#REF!</v>
      </c>
      <c r="BV25" s="171" t="e">
        <f>BV24-BV18</f>
        <v>#REF!</v>
      </c>
      <c r="BY25" s="85" t="s">
        <v>225</v>
      </c>
      <c r="CB25" s="164">
        <f>Q30</f>
        <v>0</v>
      </c>
      <c r="CC25" s="164"/>
      <c r="CD25" s="164"/>
      <c r="CE25" s="164"/>
      <c r="CF25" s="171"/>
      <c r="CI25" s="483"/>
      <c r="CJ25" s="484"/>
      <c r="CK25" s="484"/>
      <c r="CL25" s="484"/>
      <c r="CM25" s="484"/>
      <c r="CN25" s="484"/>
      <c r="CO25" s="485"/>
      <c r="CP25" s="486">
        <f t="shared" ref="CP25:CP36" si="40">SUM(CB25:CO25)</f>
        <v>0</v>
      </c>
    </row>
    <row r="26" spans="2:94" ht="15" customHeight="1">
      <c r="B26" s="24"/>
      <c r="C26" s="20"/>
      <c r="D26" s="20"/>
      <c r="E26" s="20"/>
      <c r="F26" s="20"/>
      <c r="G26" s="20"/>
      <c r="H26" s="25"/>
      <c r="K26" s="40" t="str">
        <f>'Données à saisir'!A30</f>
        <v>Engins eu autres materiaux de construction</v>
      </c>
      <c r="Q26" s="185">
        <f>IF(ISBLANK('Données à saisir'!B30),"",'Données à saisir'!B30)</f>
        <v>100000</v>
      </c>
      <c r="T26" s="606"/>
      <c r="U26" s="607"/>
      <c r="V26" s="607"/>
      <c r="W26" s="607"/>
      <c r="X26" s="607"/>
      <c r="Y26" s="607"/>
      <c r="Z26" s="607"/>
      <c r="AC26" s="40" t="str">
        <f>'Données à saisir'!A86</f>
        <v xml:space="preserve">Entretien matériel de transport </v>
      </c>
      <c r="AG26" s="155">
        <f>IF(ISBLANK('Données à saisir'!B86),0,'Données à saisir'!B86)</f>
        <v>48600</v>
      </c>
      <c r="AH26" s="155">
        <f>IF(ISBLANK('Données à saisir'!C86),0,'Données à saisir'!C86)</f>
        <v>53460.000000000007</v>
      </c>
      <c r="AI26" s="213">
        <f>IF(ISBLANK('Données à saisir'!D86),0,'Données à saisir'!D86)</f>
        <v>58806.000000000015</v>
      </c>
      <c r="AJ26" s="155">
        <f>IF(ISBLANK('Données à saisir'!E86),0,'Données à saisir'!E86)</f>
        <v>64686.60000000002</v>
      </c>
      <c r="AK26" s="187">
        <f>IF(ISBLANK('Données à saisir'!F86),0,'Données à saisir'!F86)</f>
        <v>71155.260000000024</v>
      </c>
      <c r="AN26" s="208" t="s">
        <v>135</v>
      </c>
      <c r="AO26" s="52"/>
      <c r="AP26" s="52"/>
      <c r="AQ26" s="477">
        <f>AQ23+AQ25</f>
        <v>551122.79666666675</v>
      </c>
      <c r="AR26" s="258">
        <f t="shared" si="9"/>
        <v>0.3894750654869592</v>
      </c>
      <c r="AS26" s="477">
        <f t="shared" ref="AS26:AU26" si="41">AS23+AS25</f>
        <v>592282.4033333332</v>
      </c>
      <c r="AT26" s="259">
        <f t="shared" si="21"/>
        <v>0.38051118589216443</v>
      </c>
      <c r="AU26" s="473">
        <f t="shared" si="41"/>
        <v>658388.4641666665</v>
      </c>
      <c r="AV26" s="259">
        <f t="shared" si="15"/>
        <v>0.38452813889247095</v>
      </c>
      <c r="AW26" s="477" t="e">
        <f t="shared" ref="AW26" si="42">AW23+AW25</f>
        <v>#REF!</v>
      </c>
      <c r="AX26" s="259" t="e">
        <f t="shared" si="16"/>
        <v>#REF!</v>
      </c>
      <c r="AY26" s="477" t="e">
        <f t="shared" ref="AY26" si="43">AY23+AY25</f>
        <v>#REF!</v>
      </c>
      <c r="AZ26" s="260" t="e">
        <f t="shared" si="17"/>
        <v>#REF!</v>
      </c>
      <c r="BN26" s="51" t="s">
        <v>226</v>
      </c>
      <c r="BO26" s="253"/>
      <c r="BP26" s="253"/>
      <c r="BQ26" s="253"/>
      <c r="BR26" s="264">
        <f>BR25</f>
        <v>502323.89969178091</v>
      </c>
      <c r="BS26" s="264">
        <f>BR26+BS25</f>
        <v>916061.23041095887</v>
      </c>
      <c r="BT26" s="265">
        <f>+BS26+BT25</f>
        <v>1378344.2875770547</v>
      </c>
      <c r="BU26" s="264" t="e">
        <f>+BT26+BU25</f>
        <v>#REF!</v>
      </c>
      <c r="BV26" s="266" t="e">
        <f>+BU26+BV25</f>
        <v>#REF!</v>
      </c>
      <c r="BY26" s="85" t="s">
        <v>195</v>
      </c>
      <c r="CB26" s="164">
        <f>'Amortissement de prêt '!H19</f>
        <v>4142.1899999999996</v>
      </c>
      <c r="CC26" s="164">
        <f>CB26</f>
        <v>4142.1899999999996</v>
      </c>
      <c r="CD26" s="164">
        <f>CC26</f>
        <v>4142.1899999999996</v>
      </c>
      <c r="CE26" s="164">
        <f>CB26</f>
        <v>4142.1899999999996</v>
      </c>
      <c r="CF26" s="164">
        <f t="shared" ref="CF26:CJ26" si="44">CC26</f>
        <v>4142.1899999999996</v>
      </c>
      <c r="CG26" s="164"/>
      <c r="CH26" s="164"/>
      <c r="CI26" s="164">
        <f t="shared" si="44"/>
        <v>4142.1899999999996</v>
      </c>
      <c r="CJ26" s="164">
        <f>CI26</f>
        <v>4142.1899999999996</v>
      </c>
      <c r="CK26" s="164">
        <f t="shared" ref="CK26:CO26" si="45">CJ26</f>
        <v>4142.1899999999996</v>
      </c>
      <c r="CL26" s="164">
        <f t="shared" si="45"/>
        <v>4142.1899999999996</v>
      </c>
      <c r="CM26" s="164">
        <f t="shared" si="45"/>
        <v>4142.1899999999996</v>
      </c>
      <c r="CN26" s="164">
        <f t="shared" si="45"/>
        <v>4142.1899999999996</v>
      </c>
      <c r="CO26" s="164">
        <f t="shared" si="45"/>
        <v>4142.1899999999996</v>
      </c>
      <c r="CP26" s="486">
        <f t="shared" si="40"/>
        <v>49706.280000000006</v>
      </c>
    </row>
    <row r="27" spans="2:94" ht="15" customHeight="1" thickBot="1">
      <c r="B27" s="24"/>
      <c r="C27" s="18"/>
      <c r="D27" s="18"/>
      <c r="E27" s="18"/>
      <c r="F27" s="18"/>
      <c r="G27" s="18"/>
      <c r="H27" s="25"/>
      <c r="K27" s="40" t="str">
        <f>'Données à saisir'!A31</f>
        <v xml:space="preserve">Matériel de transport </v>
      </c>
      <c r="Q27" s="185">
        <f>IF(ISBLANK('Données à saisir'!B31),"",'Données à saisir'!B31)</f>
        <v>25000</v>
      </c>
      <c r="T27" s="609"/>
      <c r="U27" s="610"/>
      <c r="V27" s="610"/>
      <c r="W27" s="610"/>
      <c r="X27" s="610"/>
      <c r="Y27" s="610"/>
      <c r="Z27" s="610"/>
      <c r="AC27" s="40" t="str">
        <f>'Données à saisir'!A87</f>
        <v>Nettoyage des locaux</v>
      </c>
      <c r="AG27" s="155">
        <f>IF(ISBLANK('Données à saisir'!B87),0,'Données à saisir'!B87)</f>
        <v>3230</v>
      </c>
      <c r="AH27" s="155">
        <f>IF(ISBLANK('Données à saisir'!C87),0,'Données à saisir'!C87)</f>
        <v>3460</v>
      </c>
      <c r="AI27" s="213">
        <f>IF(ISBLANK('Données à saisir'!D87),0,'Données à saisir'!D87)</f>
        <v>3680</v>
      </c>
      <c r="AJ27" s="155">
        <f>IF(ISBLANK('Données à saisir'!E87),0,'Données à saisir'!E87)</f>
        <v>3760</v>
      </c>
      <c r="AK27" s="187">
        <f>IF(ISBLANK('Données à saisir'!F87),0,'Données à saisir'!F87)</f>
        <v>3920</v>
      </c>
      <c r="AN27" s="208" t="s">
        <v>136</v>
      </c>
      <c r="AO27" s="52"/>
      <c r="AP27" s="52"/>
      <c r="AQ27" s="477">
        <f>IF(ISERROR(AQ26-AG45),AQ26,(AQ26-AG45))</f>
        <v>417652.09750000003</v>
      </c>
      <c r="AR27" s="258">
        <f t="shared" si="9"/>
        <v>0.29515214940920398</v>
      </c>
      <c r="AS27" s="477">
        <f>IF(ISERROR(AS26-AH45),AS26,(AS26-AH45))</f>
        <v>448521.80249999987</v>
      </c>
      <c r="AT27" s="259">
        <f t="shared" si="21"/>
        <v>0.28815234423183661</v>
      </c>
      <c r="AU27" s="473">
        <f>IF(ISERROR(AU26-AI45),AU26,(AU26-AI45))</f>
        <v>498101.3481249999</v>
      </c>
      <c r="AV27" s="259">
        <f t="shared" si="15"/>
        <v>0.29091333581727441</v>
      </c>
      <c r="AW27" s="477" t="e">
        <f>IF(ISERROR(AW26-AJ45),AW26,(AW26-AJ45))</f>
        <v>#REF!</v>
      </c>
      <c r="AX27" s="259" t="e">
        <f t="shared" si="16"/>
        <v>#REF!</v>
      </c>
      <c r="AY27" s="477" t="e">
        <f>IF(ISERROR(AY26-AK45),AY26,(AY26-AK45))</f>
        <v>#REF!</v>
      </c>
      <c r="AZ27" s="260" t="e">
        <f t="shared" si="17"/>
        <v>#REF!</v>
      </c>
      <c r="BY27" s="85" t="s">
        <v>196</v>
      </c>
      <c r="CB27" s="164">
        <f>CB19*'Données à saisir'!$D$126</f>
        <v>0</v>
      </c>
      <c r="CC27" s="164">
        <f>CC19*'Données à saisir'!$D$126</f>
        <v>0</v>
      </c>
      <c r="CD27" s="164">
        <f>CD19*'Données à saisir'!$D$126</f>
        <v>0</v>
      </c>
      <c r="CE27" s="164">
        <f>CE19*'Données à saisir'!$D$126</f>
        <v>0</v>
      </c>
      <c r="CF27" s="171">
        <f>CF19*'Données à saisir'!$D$126</f>
        <v>0</v>
      </c>
      <c r="CI27" s="483">
        <f>CI19*'Données à saisir'!$D$126</f>
        <v>0</v>
      </c>
      <c r="CJ27" s="484">
        <f>CJ19*'Données à saisir'!$D$126</f>
        <v>0</v>
      </c>
      <c r="CK27" s="484">
        <f>CK19*'Données à saisir'!$D$126</f>
        <v>0</v>
      </c>
      <c r="CL27" s="484">
        <f>CL19*'Données à saisir'!$D$126</f>
        <v>0</v>
      </c>
      <c r="CM27" s="484">
        <f>CM19*'Données à saisir'!$D$126</f>
        <v>0</v>
      </c>
      <c r="CN27" s="484">
        <f>CN19*'Données à saisir'!$D$126</f>
        <v>0</v>
      </c>
      <c r="CO27" s="485">
        <f>CO19*'Données à saisir'!$D$126</f>
        <v>0</v>
      </c>
      <c r="CP27" s="486">
        <f t="shared" si="40"/>
        <v>0</v>
      </c>
    </row>
    <row r="28" spans="2:94" ht="15" customHeight="1" thickBot="1">
      <c r="B28" s="24"/>
      <c r="C28" s="628" t="str">
        <f>IF(ISBLANK('Données à saisir'!B8),"",('Données à saisir'!B8))</f>
        <v>E.G.J</v>
      </c>
      <c r="D28" s="628"/>
      <c r="E28" s="628"/>
      <c r="F28" s="628"/>
      <c r="G28" s="628"/>
      <c r="H28" s="25"/>
      <c r="K28" s="40" t="str">
        <f>'Données à saisir'!A32</f>
        <v>Equipement</v>
      </c>
      <c r="Q28" s="185">
        <f>IF(ISBLANK('Données à saisir'!B32),"",'Données à saisir'!B32)</f>
        <v>0</v>
      </c>
      <c r="AC28" s="40" t="str">
        <f>'Données à saisir'!A88</f>
        <v>Budget publicité et communication</v>
      </c>
      <c r="AG28" s="155">
        <f>IF(ISBLANK('Données à saisir'!B88),0,'Données à saisir'!B88)</f>
        <v>1500</v>
      </c>
      <c r="AH28" s="155">
        <f>IF(ISBLANK('Données à saisir'!C88),0,'Données à saisir'!C88)</f>
        <v>1800</v>
      </c>
      <c r="AI28" s="213">
        <f>IF(ISBLANK('Données à saisir'!D88),0,'Données à saisir'!D88)</f>
        <v>2200</v>
      </c>
      <c r="AJ28" s="155">
        <f>IF(ISBLANK('Données à saisir'!E88),0,'Données à saisir'!E88)</f>
        <v>2500</v>
      </c>
      <c r="AK28" s="187">
        <f>IF(ISBLANK('Données à saisir'!F88),0,'Données à saisir'!F88)</f>
        <v>2500</v>
      </c>
      <c r="AN28" s="209" t="s">
        <v>244</v>
      </c>
      <c r="AO28" s="42"/>
      <c r="AP28" s="42"/>
      <c r="AQ28" s="478">
        <f>AQ27+AQ22</f>
        <v>442912.09750000003</v>
      </c>
      <c r="AR28" s="191">
        <f t="shared" si="9"/>
        <v>0.31300323489088649</v>
      </c>
      <c r="AS28" s="478">
        <f t="shared" ref="AS28:AU28" si="46">AS27+AS22</f>
        <v>473781.80249999987</v>
      </c>
      <c r="AT28" s="195">
        <f t="shared" si="21"/>
        <v>0.30438060376063886</v>
      </c>
      <c r="AU28" s="474">
        <f t="shared" si="46"/>
        <v>523361.3481249999</v>
      </c>
      <c r="AV28" s="196">
        <f t="shared" si="15"/>
        <v>0.30566629902527648</v>
      </c>
      <c r="AW28" s="478" t="e">
        <f t="shared" ref="AW28" si="47">AW27+AW22</f>
        <v>#REF!</v>
      </c>
      <c r="AX28" s="196" t="e">
        <f t="shared" si="16"/>
        <v>#REF!</v>
      </c>
      <c r="AY28" s="478" t="e">
        <f t="shared" ref="AY28" si="48">AY27+AY22</f>
        <v>#REF!</v>
      </c>
      <c r="AZ28" s="200" t="e">
        <f t="shared" si="17"/>
        <v>#REF!</v>
      </c>
      <c r="BN28" s="67" t="s">
        <v>221</v>
      </c>
      <c r="BQ28" s="642">
        <f>Q31</f>
        <v>212500</v>
      </c>
      <c r="BR28" s="642"/>
      <c r="BY28" s="85" t="s">
        <v>59</v>
      </c>
      <c r="CB28" s="164">
        <f>$AG$17/12</f>
        <v>32788.166666666664</v>
      </c>
      <c r="CC28" s="164">
        <f t="shared" ref="CC28:CO28" si="49">$AG$17/12</f>
        <v>32788.166666666664</v>
      </c>
      <c r="CD28" s="164">
        <f t="shared" si="49"/>
        <v>32788.166666666664</v>
      </c>
      <c r="CE28" s="164">
        <f t="shared" si="49"/>
        <v>32788.166666666664</v>
      </c>
      <c r="CF28" s="171">
        <f t="shared" si="49"/>
        <v>32788.166666666664</v>
      </c>
      <c r="CI28" s="483">
        <f t="shared" si="49"/>
        <v>32788.166666666664</v>
      </c>
      <c r="CJ28" s="484">
        <f t="shared" si="49"/>
        <v>32788.166666666664</v>
      </c>
      <c r="CK28" s="484">
        <f t="shared" si="49"/>
        <v>32788.166666666664</v>
      </c>
      <c r="CL28" s="484">
        <f t="shared" si="49"/>
        <v>32788.166666666664</v>
      </c>
      <c r="CM28" s="484">
        <f t="shared" si="49"/>
        <v>32788.166666666664</v>
      </c>
      <c r="CN28" s="484">
        <f t="shared" si="49"/>
        <v>32788.166666666664</v>
      </c>
      <c r="CO28" s="485">
        <f t="shared" si="49"/>
        <v>32788.166666666664</v>
      </c>
      <c r="CP28" s="486">
        <f t="shared" si="40"/>
        <v>393458.00000000006</v>
      </c>
    </row>
    <row r="29" spans="2:94" ht="15" customHeight="1">
      <c r="B29" s="24"/>
      <c r="C29" s="628"/>
      <c r="D29" s="628"/>
      <c r="E29" s="628"/>
      <c r="F29" s="628"/>
      <c r="G29" s="628"/>
      <c r="H29" s="25"/>
      <c r="K29" s="37"/>
      <c r="Q29" s="185"/>
      <c r="X29" s="246" t="s">
        <v>25</v>
      </c>
      <c r="Y29" s="247" t="s">
        <v>26</v>
      </c>
      <c r="Z29" s="248" t="s">
        <v>27</v>
      </c>
      <c r="AC29" s="40" t="str">
        <f>'Données à saisir'!A89</f>
        <v>Loyer et charges locatives</v>
      </c>
      <c r="AD29" s="1"/>
      <c r="AE29" s="1"/>
      <c r="AF29" s="1"/>
      <c r="AG29" s="155">
        <f>IF(ISBLANK('Données à saisir'!B89),0,'Données à saisir'!B89)</f>
        <v>12300</v>
      </c>
      <c r="AH29" s="155">
        <f>IF(ISBLANK('Données à saisir'!C89),0,'Données à saisir'!C89)</f>
        <v>12484.499999999998</v>
      </c>
      <c r="AI29" s="213">
        <f>IF(ISBLANK('Données à saisir'!D89),0,'Données à saisir'!D89)</f>
        <v>12671.767499999996</v>
      </c>
      <c r="AJ29" s="155">
        <f>IF(ISBLANK('Données à saisir'!E89),0,'Données à saisir'!E89)</f>
        <v>12861.844012499994</v>
      </c>
      <c r="AK29" s="187">
        <f>IF(ISBLANK('Données à saisir'!F89),0,'Données à saisir'!F89)</f>
        <v>13054.771672687493</v>
      </c>
      <c r="BC29" s="603" t="s">
        <v>155</v>
      </c>
      <c r="BD29" s="604"/>
      <c r="BE29" s="604"/>
      <c r="BF29" s="604"/>
      <c r="BG29" s="604"/>
      <c r="BH29" s="604"/>
      <c r="BI29" s="604"/>
      <c r="BJ29" s="604"/>
      <c r="BK29" s="605"/>
      <c r="BN29" s="95"/>
      <c r="BO29" s="95"/>
      <c r="BQ29" s="100"/>
      <c r="BR29" s="44"/>
      <c r="BS29" s="44"/>
      <c r="BT29" s="44"/>
      <c r="BU29" s="44"/>
      <c r="BV29" s="44"/>
      <c r="BY29" s="85" t="str">
        <f>AC36</f>
        <v>Impôts et taxes</v>
      </c>
      <c r="CB29" s="164">
        <f t="shared" ref="CB29:CF33" si="50">$AG36/12</f>
        <v>158.33333333333334</v>
      </c>
      <c r="CC29" s="164">
        <f t="shared" si="50"/>
        <v>158.33333333333334</v>
      </c>
      <c r="CD29" s="164">
        <f t="shared" si="50"/>
        <v>158.33333333333334</v>
      </c>
      <c r="CE29" s="164">
        <f t="shared" si="50"/>
        <v>158.33333333333334</v>
      </c>
      <c r="CF29" s="171">
        <f t="shared" si="50"/>
        <v>158.33333333333334</v>
      </c>
      <c r="CI29" s="483">
        <f t="shared" ref="CI29:CO33" si="51">$AG36/12</f>
        <v>158.33333333333334</v>
      </c>
      <c r="CJ29" s="484">
        <f t="shared" si="51"/>
        <v>158.33333333333334</v>
      </c>
      <c r="CK29" s="484">
        <f t="shared" si="51"/>
        <v>158.33333333333334</v>
      </c>
      <c r="CL29" s="484">
        <f t="shared" si="51"/>
        <v>158.33333333333334</v>
      </c>
      <c r="CM29" s="484">
        <f t="shared" si="51"/>
        <v>158.33333333333334</v>
      </c>
      <c r="CN29" s="484">
        <f t="shared" si="51"/>
        <v>158.33333333333334</v>
      </c>
      <c r="CO29" s="485">
        <f t="shared" si="51"/>
        <v>158.33333333333334</v>
      </c>
      <c r="CP29" s="486">
        <f t="shared" si="40"/>
        <v>1899.9999999999998</v>
      </c>
    </row>
    <row r="30" spans="2:94" ht="15" customHeight="1">
      <c r="B30" s="24"/>
      <c r="C30" s="628"/>
      <c r="D30" s="628"/>
      <c r="E30" s="628"/>
      <c r="F30" s="628"/>
      <c r="G30" s="628"/>
      <c r="H30" s="25"/>
      <c r="K30" s="36" t="str">
        <f>'Données à saisir'!A33</f>
        <v>Dépot de garantie</v>
      </c>
      <c r="L30" s="1"/>
      <c r="M30" s="1"/>
      <c r="N30" s="1"/>
      <c r="O30" s="1"/>
      <c r="P30" s="1"/>
      <c r="Q30" s="184">
        <f>IF(ISBLANK('Données à saisir'!B33),"",'Données à saisir'!B33)</f>
        <v>0</v>
      </c>
      <c r="T30" s="4"/>
      <c r="U30" s="1"/>
      <c r="V30" s="1"/>
      <c r="W30" s="1"/>
      <c r="X30" s="250"/>
      <c r="Y30" s="251"/>
      <c r="Z30" s="252"/>
      <c r="AC30" s="40" t="str">
        <f>'Données à saisir'!A90</f>
        <v>Honoraires Expert comptable, avocats</v>
      </c>
      <c r="AD30" s="1"/>
      <c r="AE30" s="1"/>
      <c r="AF30" s="1"/>
      <c r="AG30" s="155">
        <f>IF(ISBLANK('Données à saisir'!B90),0,'Données à saisir'!B90)</f>
        <v>10800</v>
      </c>
      <c r="AH30" s="155">
        <f>IF(ISBLANK('Données à saisir'!C90),0,'Données à saisir'!C90)</f>
        <v>11340</v>
      </c>
      <c r="AI30" s="213">
        <f>IF(ISBLANK('Données à saisir'!D90),0,'Données à saisir'!D90)</f>
        <v>11907</v>
      </c>
      <c r="AJ30" s="155">
        <f>IF(ISBLANK('Données à saisir'!E90),0,'Données à saisir'!E90)</f>
        <v>12502.35</v>
      </c>
      <c r="AK30" s="187">
        <f>IF(ISBLANK('Données à saisir'!F90),0,'Données à saisir'!F90)</f>
        <v>13127.467500000001</v>
      </c>
      <c r="AN30" s="4"/>
      <c r="AQ30" s="73"/>
      <c r="AR30" s="73"/>
      <c r="AS30" s="73"/>
      <c r="AT30" s="73"/>
      <c r="AU30" s="73"/>
      <c r="AV30" s="73"/>
      <c r="AW30" s="73"/>
      <c r="AX30" s="73"/>
      <c r="AY30" s="73"/>
      <c r="AZ30" s="73"/>
      <c r="BC30" s="606"/>
      <c r="BD30" s="607"/>
      <c r="BE30" s="607"/>
      <c r="BF30" s="607"/>
      <c r="BG30" s="607"/>
      <c r="BH30" s="607"/>
      <c r="BI30" s="607"/>
      <c r="BJ30" s="607"/>
      <c r="BK30" s="608"/>
      <c r="BN30" s="1"/>
      <c r="BR30" s="44"/>
      <c r="BS30" s="109"/>
      <c r="BT30" s="44"/>
      <c r="BU30" s="44"/>
      <c r="BV30" s="44"/>
      <c r="BY30" s="110" t="str">
        <f>AC37</f>
        <v>Salaires employés</v>
      </c>
      <c r="BZ30" s="32"/>
      <c r="CA30" s="32"/>
      <c r="CB30" s="163">
        <f t="shared" si="50"/>
        <v>18515.333333333332</v>
      </c>
      <c r="CC30" s="163">
        <f t="shared" si="50"/>
        <v>18515.333333333332</v>
      </c>
      <c r="CD30" s="163">
        <f t="shared" si="50"/>
        <v>18515.333333333332</v>
      </c>
      <c r="CE30" s="163">
        <f t="shared" si="50"/>
        <v>18515.333333333332</v>
      </c>
      <c r="CF30" s="181">
        <f t="shared" si="50"/>
        <v>18515.333333333332</v>
      </c>
      <c r="CI30" s="487">
        <f t="shared" si="51"/>
        <v>18515.333333333332</v>
      </c>
      <c r="CJ30" s="488">
        <f t="shared" si="51"/>
        <v>18515.333333333332</v>
      </c>
      <c r="CK30" s="488">
        <f t="shared" si="51"/>
        <v>18515.333333333332</v>
      </c>
      <c r="CL30" s="488">
        <f t="shared" si="51"/>
        <v>18515.333333333332</v>
      </c>
      <c r="CM30" s="488">
        <f t="shared" si="51"/>
        <v>18515.333333333332</v>
      </c>
      <c r="CN30" s="488">
        <f t="shared" si="51"/>
        <v>18515.333333333332</v>
      </c>
      <c r="CO30" s="489">
        <f t="shared" si="51"/>
        <v>18515.333333333332</v>
      </c>
      <c r="CP30" s="490">
        <f t="shared" si="40"/>
        <v>222184.00000000003</v>
      </c>
    </row>
    <row r="31" spans="2:94" ht="15" customHeight="1" thickBot="1">
      <c r="B31" s="24"/>
      <c r="C31" s="628"/>
      <c r="D31" s="628"/>
      <c r="E31" s="628"/>
      <c r="F31" s="628"/>
      <c r="G31" s="628"/>
      <c r="H31" s="25"/>
      <c r="K31" s="36" t="str">
        <f>'Données à saisir'!A34</f>
        <v>Trésorerie de départ</v>
      </c>
      <c r="L31" s="1"/>
      <c r="M31" s="1"/>
      <c r="N31" s="1"/>
      <c r="O31" s="1"/>
      <c r="P31" s="1"/>
      <c r="Q31" s="184">
        <f>IF(ISBLANK('Données à saisir'!B34),"",'Données à saisir'!B34)</f>
        <v>212500</v>
      </c>
      <c r="T31" s="77" t="s">
        <v>124</v>
      </c>
      <c r="U31" s="32"/>
      <c r="V31" s="32"/>
      <c r="W31" s="32"/>
      <c r="X31" s="140">
        <f>SUM(X33:X39)</f>
        <v>0</v>
      </c>
      <c r="Y31" s="140">
        <f>SUM(Y33:Y39)</f>
        <v>0</v>
      </c>
      <c r="Z31" s="141">
        <f>SUM(Z33:Z39)</f>
        <v>0</v>
      </c>
      <c r="AC31" s="40" t="str">
        <f>IF(ISBLANK('Données à saisir'!A94),"",'Données à saisir'!A94)</f>
        <v>Libellé autre charge 1</v>
      </c>
      <c r="AG31" s="155">
        <f>IF(ISBLANK('Données à saisir'!B94),0,'Données à saisir'!B94)</f>
        <v>0</v>
      </c>
      <c r="AH31" s="155">
        <f>IF(ISBLANK('Données à saisir'!C94),0,'Données à saisir'!C94)</f>
        <v>0</v>
      </c>
      <c r="AI31" s="214">
        <f>IF(ISBLANK('Données à saisir'!D94),0,'Données à saisir'!D94)</f>
        <v>0</v>
      </c>
      <c r="AJ31" s="155">
        <f>IF(ISBLANK('Données à saisir'!E94),0,'Données à saisir'!E94)</f>
        <v>0</v>
      </c>
      <c r="AK31" s="187">
        <f>IF(ISBLANK('Données à saisir'!F94),0,'Données à saisir'!F94)</f>
        <v>0</v>
      </c>
      <c r="AN31" s="4"/>
      <c r="AQ31" s="73"/>
      <c r="AR31" s="73"/>
      <c r="AS31" s="73"/>
      <c r="AT31" s="73"/>
      <c r="AU31" s="73"/>
      <c r="AV31" s="73"/>
      <c r="AW31" s="73"/>
      <c r="AX31" s="73"/>
      <c r="AY31" s="73"/>
      <c r="AZ31" s="73"/>
      <c r="BC31" s="609"/>
      <c r="BD31" s="610"/>
      <c r="BE31" s="610"/>
      <c r="BF31" s="610"/>
      <c r="BG31" s="610"/>
      <c r="BH31" s="610"/>
      <c r="BI31" s="610"/>
      <c r="BJ31" s="610"/>
      <c r="BK31" s="611"/>
      <c r="BN31" s="102"/>
      <c r="BQ31" s="98"/>
      <c r="BR31" s="103"/>
      <c r="BS31" s="103"/>
      <c r="BT31" s="103"/>
      <c r="BU31" s="103"/>
      <c r="BV31" s="103"/>
      <c r="BY31" s="85" t="str">
        <f>AC38</f>
        <v>Charges sociales employés</v>
      </c>
      <c r="CB31" s="164">
        <f t="shared" si="50"/>
        <v>4628.833333333333</v>
      </c>
      <c r="CC31" s="164">
        <f t="shared" si="50"/>
        <v>4628.833333333333</v>
      </c>
      <c r="CD31" s="164">
        <f t="shared" si="50"/>
        <v>4628.833333333333</v>
      </c>
      <c r="CE31" s="164">
        <f t="shared" si="50"/>
        <v>4628.833333333333</v>
      </c>
      <c r="CF31" s="171">
        <f t="shared" si="50"/>
        <v>4628.833333333333</v>
      </c>
      <c r="CI31" s="483">
        <f t="shared" si="51"/>
        <v>4628.833333333333</v>
      </c>
      <c r="CJ31" s="484">
        <f t="shared" si="51"/>
        <v>4628.833333333333</v>
      </c>
      <c r="CK31" s="484">
        <f t="shared" si="51"/>
        <v>4628.833333333333</v>
      </c>
      <c r="CL31" s="484">
        <f t="shared" si="51"/>
        <v>4628.833333333333</v>
      </c>
      <c r="CM31" s="484">
        <f t="shared" si="51"/>
        <v>4628.833333333333</v>
      </c>
      <c r="CN31" s="484">
        <f t="shared" si="51"/>
        <v>4628.833333333333</v>
      </c>
      <c r="CO31" s="485">
        <f t="shared" si="51"/>
        <v>4628.833333333333</v>
      </c>
      <c r="CP31" s="486">
        <f t="shared" si="40"/>
        <v>55546.000000000007</v>
      </c>
    </row>
    <row r="32" spans="2:94" ht="15" customHeight="1">
      <c r="B32" s="24"/>
      <c r="C32" s="628"/>
      <c r="D32" s="628"/>
      <c r="E32" s="628"/>
      <c r="F32" s="628"/>
      <c r="G32" s="628"/>
      <c r="H32" s="25"/>
      <c r="K32" s="37"/>
      <c r="O32" s="1" t="s">
        <v>54</v>
      </c>
      <c r="Q32" s="245">
        <f>+SUM(Q12,Q23,Q30:Q31)</f>
        <v>338800</v>
      </c>
      <c r="T32" s="33"/>
      <c r="X32" s="142"/>
      <c r="Y32" s="142"/>
      <c r="Z32" s="143"/>
      <c r="AC32" s="40" t="str">
        <f>IF(ISBLANK('Données à saisir'!A95),"",'Données à saisir'!A95)</f>
        <v>Libellé autre charge 2</v>
      </c>
      <c r="AD32" s="44"/>
      <c r="AE32" s="44"/>
      <c r="AF32" s="44"/>
      <c r="AG32" s="155">
        <f>IF(ISBLANK('Données à saisir'!B95),0,'Données à saisir'!B95)</f>
        <v>0</v>
      </c>
      <c r="AH32" s="155">
        <f>IF(ISBLANK('Données à saisir'!C95),0,'Données à saisir'!C95)</f>
        <v>0</v>
      </c>
      <c r="AI32" s="214">
        <f>IF(ISBLANK('Données à saisir'!D95),0,'Données à saisir'!D95)</f>
        <v>0</v>
      </c>
      <c r="AJ32" s="155">
        <f>IF(ISBLANK('Données à saisir'!E95),0,'Données à saisir'!E95)</f>
        <v>0</v>
      </c>
      <c r="AK32" s="187">
        <f>IF(ISBLANK('Données à saisir'!F95),0,'Données à saisir'!F95)</f>
        <v>0</v>
      </c>
      <c r="BN32" s="1"/>
      <c r="BR32" s="229"/>
      <c r="BS32" s="104"/>
      <c r="BT32" s="104"/>
      <c r="BU32" s="104"/>
      <c r="BV32" s="104"/>
      <c r="BY32" s="85" t="str">
        <f>AC39</f>
        <v>Prélèvement dirigeant(s)</v>
      </c>
      <c r="CB32" s="164">
        <f t="shared" si="50"/>
        <v>4166.666666666667</v>
      </c>
      <c r="CC32" s="164">
        <f t="shared" si="50"/>
        <v>4166.666666666667</v>
      </c>
      <c r="CD32" s="164">
        <f t="shared" si="50"/>
        <v>4166.666666666667</v>
      </c>
      <c r="CE32" s="164">
        <f t="shared" si="50"/>
        <v>4166.666666666667</v>
      </c>
      <c r="CF32" s="171">
        <f t="shared" si="50"/>
        <v>4166.666666666667</v>
      </c>
      <c r="CI32" s="483">
        <f t="shared" si="51"/>
        <v>4166.666666666667</v>
      </c>
      <c r="CJ32" s="484">
        <f t="shared" si="51"/>
        <v>4166.666666666667</v>
      </c>
      <c r="CK32" s="484">
        <f t="shared" si="51"/>
        <v>4166.666666666667</v>
      </c>
      <c r="CL32" s="484">
        <f t="shared" si="51"/>
        <v>4166.666666666667</v>
      </c>
      <c r="CM32" s="484">
        <f t="shared" si="51"/>
        <v>4166.666666666667</v>
      </c>
      <c r="CN32" s="484">
        <f t="shared" si="51"/>
        <v>4166.666666666667</v>
      </c>
      <c r="CO32" s="485">
        <f t="shared" si="51"/>
        <v>4166.666666666667</v>
      </c>
      <c r="CP32" s="486">
        <f t="shared" si="40"/>
        <v>49999.999999999993</v>
      </c>
    </row>
    <row r="33" spans="2:94" ht="15" customHeight="1" thickBot="1">
      <c r="B33" s="24"/>
      <c r="C33" s="599" t="str">
        <f>IF(ISBLANK('Données à saisir'!B9),"",('Données à saisir'!B9))</f>
        <v>SARL (IS)</v>
      </c>
      <c r="D33" s="599"/>
      <c r="E33" s="599"/>
      <c r="F33" s="599"/>
      <c r="G33" s="599"/>
      <c r="H33" s="25"/>
      <c r="K33" s="33"/>
      <c r="Q33" s="39"/>
      <c r="T33" s="40" t="str">
        <f>K13</f>
        <v>Frais d'établiseement</v>
      </c>
      <c r="X33" s="144">
        <f>'Données à saisir'!C41</f>
        <v>0</v>
      </c>
      <c r="Y33" s="144">
        <f>'Données à saisir'!D41</f>
        <v>0</v>
      </c>
      <c r="Z33" s="145">
        <f>'Données à saisir'!E41</f>
        <v>0</v>
      </c>
      <c r="AC33" s="40" t="str">
        <f>IF(ISBLANK('Données à saisir'!A96),"",'Données à saisir'!A96)</f>
        <v>Libellé autre charge 3</v>
      </c>
      <c r="AG33" s="155">
        <f>IF(ISBLANK('Données à saisir'!B96),0,'Données à saisir'!B96)</f>
        <v>0</v>
      </c>
      <c r="AH33" s="155">
        <f>IF(ISBLANK('Données à saisir'!C96),0,'Données à saisir'!C96)</f>
        <v>0</v>
      </c>
      <c r="AI33" s="214">
        <f>IF(ISBLANK('Données à saisir'!D96),0,'Données à saisir'!D96)</f>
        <v>0</v>
      </c>
      <c r="AJ33" s="155">
        <f>IF(ISBLANK('Données à saisir'!E96),0,'Données à saisir'!E96)</f>
        <v>0</v>
      </c>
      <c r="AK33" s="187">
        <f>IF(ISBLANK('Données à saisir'!F96),0,'Données à saisir'!F96)</f>
        <v>0</v>
      </c>
      <c r="BC33" s="67" t="s">
        <v>162</v>
      </c>
      <c r="BN33" s="102"/>
      <c r="BQ33" s="98"/>
      <c r="BS33" s="103"/>
      <c r="BT33" s="103"/>
      <c r="BU33" s="103"/>
      <c r="BV33" s="103"/>
      <c r="BY33" s="85" t="str">
        <f>AC40</f>
        <v>Charges sociales dirigeant(s)</v>
      </c>
      <c r="CB33" s="164">
        <f t="shared" si="50"/>
        <v>1875</v>
      </c>
      <c r="CC33" s="164">
        <f t="shared" si="50"/>
        <v>1875</v>
      </c>
      <c r="CD33" s="164">
        <f t="shared" si="50"/>
        <v>1875</v>
      </c>
      <c r="CE33" s="164">
        <f t="shared" si="50"/>
        <v>1875</v>
      </c>
      <c r="CF33" s="171">
        <f t="shared" si="50"/>
        <v>1875</v>
      </c>
      <c r="CI33" s="483">
        <f t="shared" si="51"/>
        <v>1875</v>
      </c>
      <c r="CJ33" s="484">
        <f t="shared" si="51"/>
        <v>1875</v>
      </c>
      <c r="CK33" s="484">
        <f t="shared" si="51"/>
        <v>1875</v>
      </c>
      <c r="CL33" s="484">
        <f t="shared" si="51"/>
        <v>1875</v>
      </c>
      <c r="CM33" s="484">
        <f t="shared" si="51"/>
        <v>1875</v>
      </c>
      <c r="CN33" s="484">
        <f t="shared" si="51"/>
        <v>1875</v>
      </c>
      <c r="CO33" s="485">
        <f t="shared" si="51"/>
        <v>1875</v>
      </c>
      <c r="CP33" s="486">
        <f t="shared" si="40"/>
        <v>22500</v>
      </c>
    </row>
    <row r="34" spans="2:94" ht="15" customHeight="1">
      <c r="B34" s="24"/>
      <c r="C34" s="599"/>
      <c r="D34" s="599"/>
      <c r="E34" s="599"/>
      <c r="F34" s="599"/>
      <c r="G34" s="599"/>
      <c r="H34" s="25"/>
      <c r="K34" s="612" t="s">
        <v>109</v>
      </c>
      <c r="L34" s="613"/>
      <c r="M34" s="613"/>
      <c r="N34" s="613"/>
      <c r="O34" s="613"/>
      <c r="P34" s="624"/>
      <c r="Q34" s="616" t="s">
        <v>386</v>
      </c>
      <c r="T34" s="40" t="str">
        <f t="shared" ref="T34" si="52">K15</f>
        <v>Logiciels, formations</v>
      </c>
      <c r="X34" s="144">
        <f>'Données à saisir'!C43</f>
        <v>0</v>
      </c>
      <c r="Y34" s="144">
        <f>'Données à saisir'!D43</f>
        <v>0</v>
      </c>
      <c r="Z34" s="145">
        <f>'Données à saisir'!E43</f>
        <v>0</v>
      </c>
      <c r="AC34" s="53"/>
      <c r="AG34" s="155"/>
      <c r="AH34" s="155"/>
      <c r="AI34" s="214"/>
      <c r="AJ34" s="155"/>
      <c r="AK34" s="187"/>
      <c r="AN34" s="603" t="s">
        <v>134</v>
      </c>
      <c r="AO34" s="604"/>
      <c r="AP34" s="604"/>
      <c r="AQ34" s="604"/>
      <c r="AR34" s="604"/>
      <c r="AS34" s="604"/>
      <c r="AT34" s="604"/>
      <c r="AU34" s="604"/>
      <c r="AV34" s="604"/>
      <c r="AW34" s="604"/>
      <c r="AX34" s="604"/>
      <c r="AY34" s="604"/>
      <c r="AZ34" s="605"/>
      <c r="BC34" s="95"/>
      <c r="BD34" s="95"/>
      <c r="BF34" s="100" t="s">
        <v>160</v>
      </c>
      <c r="BG34" s="638" t="s">
        <v>25</v>
      </c>
      <c r="BH34" s="595" t="s">
        <v>26</v>
      </c>
      <c r="BI34" s="593" t="s">
        <v>27</v>
      </c>
      <c r="BJ34" s="595" t="s">
        <v>73</v>
      </c>
      <c r="BK34" s="635" t="s">
        <v>74</v>
      </c>
      <c r="BN34" s="105"/>
      <c r="BO34" s="106"/>
      <c r="BQ34" s="106"/>
      <c r="BR34" s="103"/>
      <c r="BS34" s="107"/>
      <c r="BT34" s="107"/>
      <c r="BU34" s="107"/>
      <c r="BV34" s="107"/>
      <c r="BY34" s="257" t="s">
        <v>197</v>
      </c>
      <c r="BZ34" s="253"/>
      <c r="CA34" s="253"/>
      <c r="CB34" s="264">
        <f>SUM(CB30:CB33)</f>
        <v>29185.833333333332</v>
      </c>
      <c r="CC34" s="264">
        <f t="shared" ref="CC34:CO34" si="53">SUM(CC30:CC33)</f>
        <v>29185.833333333332</v>
      </c>
      <c r="CD34" s="264">
        <f t="shared" si="53"/>
        <v>29185.833333333332</v>
      </c>
      <c r="CE34" s="264">
        <f t="shared" si="53"/>
        <v>29185.833333333332</v>
      </c>
      <c r="CF34" s="266">
        <f t="shared" si="53"/>
        <v>29185.833333333332</v>
      </c>
      <c r="CI34" s="491">
        <f t="shared" si="53"/>
        <v>29185.833333333332</v>
      </c>
      <c r="CJ34" s="492">
        <f t="shared" si="53"/>
        <v>29185.833333333332</v>
      </c>
      <c r="CK34" s="492">
        <f t="shared" si="53"/>
        <v>29185.833333333332</v>
      </c>
      <c r="CL34" s="492">
        <f t="shared" si="53"/>
        <v>29185.833333333332</v>
      </c>
      <c r="CM34" s="492">
        <f t="shared" si="53"/>
        <v>29185.833333333332</v>
      </c>
      <c r="CN34" s="492">
        <f t="shared" si="53"/>
        <v>29185.833333333332</v>
      </c>
      <c r="CO34" s="493">
        <f t="shared" si="53"/>
        <v>29185.833333333332</v>
      </c>
      <c r="CP34" s="494">
        <f t="shared" si="40"/>
        <v>350229.99999999994</v>
      </c>
    </row>
    <row r="35" spans="2:94" ht="15" customHeight="1">
      <c r="B35" s="24"/>
      <c r="C35" s="599"/>
      <c r="D35" s="599"/>
      <c r="E35" s="599"/>
      <c r="F35" s="599"/>
      <c r="G35" s="599"/>
      <c r="H35" s="25"/>
      <c r="K35" s="614"/>
      <c r="L35" s="615"/>
      <c r="M35" s="615"/>
      <c r="N35" s="615"/>
      <c r="O35" s="615"/>
      <c r="P35" s="625"/>
      <c r="Q35" s="617"/>
      <c r="T35" s="40" t="str">
        <f>K17</f>
        <v>Droits d’entrée</v>
      </c>
      <c r="X35" s="144">
        <f>'Données à saisir'!C45</f>
        <v>0</v>
      </c>
      <c r="Y35" s="144">
        <f>'Données à saisir'!D45</f>
        <v>0</v>
      </c>
      <c r="Z35" s="145">
        <f>'Données à saisir'!E45</f>
        <v>0</v>
      </c>
      <c r="AC35" s="257" t="s">
        <v>102</v>
      </c>
      <c r="AD35" s="253"/>
      <c r="AE35" s="253"/>
      <c r="AF35" s="253"/>
      <c r="AG35" s="254">
        <f>AG16-AG17</f>
        <v>942968.66666666674</v>
      </c>
      <c r="AH35" s="254">
        <f>AH16-AH17</f>
        <v>1038955.8333333333</v>
      </c>
      <c r="AI35" s="255">
        <f>AI16-AI17</f>
        <v>1148118.3991666664</v>
      </c>
      <c r="AJ35" s="254">
        <f>AJ16-AJ17</f>
        <v>1265354.4893208332</v>
      </c>
      <c r="AK35" s="256">
        <f>AK16-AK17</f>
        <v>1394560.1124939788</v>
      </c>
      <c r="AN35" s="606"/>
      <c r="AO35" s="607"/>
      <c r="AP35" s="607"/>
      <c r="AQ35" s="607"/>
      <c r="AR35" s="607"/>
      <c r="AS35" s="607"/>
      <c r="AT35" s="607"/>
      <c r="AU35" s="607"/>
      <c r="AV35" s="607"/>
      <c r="AW35" s="607"/>
      <c r="AX35" s="607"/>
      <c r="AY35" s="607"/>
      <c r="AZ35" s="608"/>
      <c r="BC35" s="257" t="s">
        <v>157</v>
      </c>
      <c r="BD35" s="253"/>
      <c r="BE35" s="253"/>
      <c r="BF35" s="253"/>
      <c r="BG35" s="639"/>
      <c r="BH35" s="596"/>
      <c r="BI35" s="594"/>
      <c r="BJ35" s="596"/>
      <c r="BK35" s="636"/>
      <c r="BY35" s="85" t="str">
        <f>AC42</f>
        <v>Frais bancaires, charges financières</v>
      </c>
      <c r="BZ35" s="1"/>
      <c r="CA35" s="1"/>
      <c r="CB35" s="164">
        <f>$AG42/12</f>
        <v>1204.6558333333335</v>
      </c>
      <c r="CC35" s="164">
        <f>$AG42/12</f>
        <v>1204.6558333333335</v>
      </c>
      <c r="CD35" s="164">
        <f>$AG42/12</f>
        <v>1204.6558333333335</v>
      </c>
      <c r="CE35" s="164">
        <f>$AG42/12</f>
        <v>1204.6558333333335</v>
      </c>
      <c r="CF35" s="171">
        <f>$AG42/12</f>
        <v>1204.6558333333335</v>
      </c>
      <c r="CI35" s="483">
        <f t="shared" ref="CI35:CO35" si="54">$AG42/12</f>
        <v>1204.6558333333335</v>
      </c>
      <c r="CJ35" s="484">
        <f t="shared" si="54"/>
        <v>1204.6558333333335</v>
      </c>
      <c r="CK35" s="484">
        <f t="shared" si="54"/>
        <v>1204.6558333333335</v>
      </c>
      <c r="CL35" s="484">
        <f t="shared" si="54"/>
        <v>1204.6558333333335</v>
      </c>
      <c r="CM35" s="484">
        <f t="shared" si="54"/>
        <v>1204.6558333333335</v>
      </c>
      <c r="CN35" s="484">
        <f t="shared" si="54"/>
        <v>1204.6558333333335</v>
      </c>
      <c r="CO35" s="485">
        <f t="shared" si="54"/>
        <v>1204.6558333333335</v>
      </c>
      <c r="CP35" s="486">
        <f t="shared" si="40"/>
        <v>14455.870000000004</v>
      </c>
    </row>
    <row r="36" spans="2:94" ht="15" customHeight="1" thickBot="1">
      <c r="B36" s="24"/>
      <c r="H36" s="25"/>
      <c r="K36" s="31"/>
      <c r="L36" s="32"/>
      <c r="M36" s="32"/>
      <c r="N36" s="32"/>
      <c r="O36" s="32"/>
      <c r="P36" s="32"/>
      <c r="Q36" s="38"/>
      <c r="T36" s="40" t="str">
        <f>K21</f>
        <v>Frais de dossier</v>
      </c>
      <c r="X36" s="144">
        <f>'Données à saisir'!C49</f>
        <v>0</v>
      </c>
      <c r="Y36" s="144">
        <f>'Données à saisir'!D49</f>
        <v>0</v>
      </c>
      <c r="Z36" s="145">
        <f>'Données à saisir'!E49</f>
        <v>0</v>
      </c>
      <c r="AC36" s="36" t="s">
        <v>60</v>
      </c>
      <c r="AG36" s="158">
        <f>IF(ISBLANK('Données à saisir'!B92),0,'Données à saisir'!B92)</f>
        <v>1900</v>
      </c>
      <c r="AH36" s="158">
        <f>IF(ISBLANK('Données à saisir'!C92),0,'Données à saisir'!C92)</f>
        <v>2100</v>
      </c>
      <c r="AI36" s="159">
        <f>IF(ISBLANK('Données à saisir'!D92),0,'Données à saisir'!D92)</f>
        <v>2110</v>
      </c>
      <c r="AJ36" s="158">
        <f>IF(ISBLANK('Données à saisir'!E92),0,'Données à saisir'!E92)</f>
        <v>2130</v>
      </c>
      <c r="AK36" s="160">
        <f>IF(ISBLANK('Données à saisir'!F92),0,'Données à saisir'!F92)</f>
        <v>2150</v>
      </c>
      <c r="AN36" s="609"/>
      <c r="AO36" s="610"/>
      <c r="AP36" s="610"/>
      <c r="AQ36" s="610"/>
      <c r="AR36" s="610"/>
      <c r="AS36" s="610"/>
      <c r="AT36" s="610"/>
      <c r="AU36" s="610"/>
      <c r="AV36" s="610"/>
      <c r="AW36" s="610"/>
      <c r="AX36" s="610"/>
      <c r="AY36" s="610"/>
      <c r="AZ36" s="611"/>
      <c r="BC36" s="85" t="s">
        <v>159</v>
      </c>
      <c r="BF36" s="177">
        <f>'Données à saisir'!D130</f>
        <v>30</v>
      </c>
      <c r="BG36" s="173">
        <f>BG11/365*$BF36</f>
        <v>116304.65753424657</v>
      </c>
      <c r="BH36" s="174">
        <f>BH11/365*$BF36</f>
        <v>127935.12328767123</v>
      </c>
      <c r="BI36" s="175">
        <f>BI11/365*$BF36</f>
        <v>140728.63561643835</v>
      </c>
      <c r="BJ36" s="174">
        <f>BJ11/365*$BF36</f>
        <v>154801.49917808222</v>
      </c>
      <c r="BK36" s="176">
        <f>BK11/365*$BF36</f>
        <v>170281.6490958904</v>
      </c>
      <c r="BY36" s="257" t="s">
        <v>198</v>
      </c>
      <c r="BZ36" s="253"/>
      <c r="CA36" s="253"/>
      <c r="CB36" s="264">
        <f>SUM(CB24:CB29,CB34:CB35)</f>
        <v>193779.17916666667</v>
      </c>
      <c r="CC36" s="264">
        <f>SUM(CC24:CC29,CC34:CC35)</f>
        <v>67479.179166666669</v>
      </c>
      <c r="CD36" s="264">
        <f>SUM(CD24:CD29,CD34:CD35)</f>
        <v>67479.179166666669</v>
      </c>
      <c r="CE36" s="264">
        <f>SUM(CE24:CE29,CE34:CE35)</f>
        <v>67479.179166666669</v>
      </c>
      <c r="CF36" s="266">
        <f>SUM(CF24:CF29,CF34:CF35)</f>
        <v>67479.179166666669</v>
      </c>
      <c r="CI36" s="491">
        <f t="shared" ref="CI36:CO36" si="55">SUM(CI24:CI29,CI34:CI35)</f>
        <v>67479.179166666669</v>
      </c>
      <c r="CJ36" s="492">
        <f t="shared" si="55"/>
        <v>67479.179166666669</v>
      </c>
      <c r="CK36" s="492">
        <f t="shared" si="55"/>
        <v>67479.179166666669</v>
      </c>
      <c r="CL36" s="492">
        <f t="shared" si="55"/>
        <v>67479.179166666669</v>
      </c>
      <c r="CM36" s="492">
        <f t="shared" si="55"/>
        <v>67479.179166666669</v>
      </c>
      <c r="CN36" s="492">
        <f t="shared" si="55"/>
        <v>67479.179166666669</v>
      </c>
      <c r="CO36" s="493">
        <f t="shared" si="55"/>
        <v>67479.179166666669</v>
      </c>
      <c r="CP36" s="494">
        <f t="shared" si="40"/>
        <v>936050.15000000026</v>
      </c>
    </row>
    <row r="37" spans="2:94" ht="15" customHeight="1" thickBot="1">
      <c r="B37" s="26"/>
      <c r="C37" s="27"/>
      <c r="D37" s="27"/>
      <c r="E37" s="27"/>
      <c r="F37" s="27"/>
      <c r="G37" s="27"/>
      <c r="H37" s="28"/>
      <c r="K37" s="36" t="s">
        <v>55</v>
      </c>
      <c r="Q37" s="184">
        <f>SUM(Q38:Q39)</f>
        <v>38800</v>
      </c>
      <c r="T37" s="40" t="str">
        <f>K22</f>
        <v>Frais de notaire ou d’avocat</v>
      </c>
      <c r="X37" s="144">
        <f>'Données à saisir'!C50</f>
        <v>0</v>
      </c>
      <c r="Y37" s="144">
        <f>'Données à saisir'!D50</f>
        <v>0</v>
      </c>
      <c r="Z37" s="145">
        <f>'Données à saisir'!E50</f>
        <v>0</v>
      </c>
      <c r="AC37" s="36" t="s">
        <v>13</v>
      </c>
      <c r="AG37" s="158">
        <f>'Données à saisir'!B136</f>
        <v>222184</v>
      </c>
      <c r="AH37" s="158">
        <f>'Données à saisir'!C136</f>
        <v>255511.59999999998</v>
      </c>
      <c r="AI37" s="159">
        <f>'Données à saisir'!D136</f>
        <v>281062.76</v>
      </c>
      <c r="AJ37" s="158">
        <f>'Données à saisir'!E136</f>
        <v>309169.03600000002</v>
      </c>
      <c r="AK37" s="160">
        <f>'Données à saisir'!F136</f>
        <v>340085.93960000004</v>
      </c>
      <c r="BC37" s="257" t="s">
        <v>156</v>
      </c>
      <c r="BD37" s="253"/>
      <c r="BE37" s="253"/>
      <c r="BF37" s="267"/>
      <c r="BG37" s="268"/>
      <c r="BH37" s="269"/>
      <c r="BI37" s="270"/>
      <c r="BJ37" s="269"/>
      <c r="BK37" s="271"/>
      <c r="BN37" s="101"/>
      <c r="BO37" s="101"/>
      <c r="BP37" s="101"/>
      <c r="BQ37" s="101"/>
      <c r="BR37" s="101"/>
      <c r="BS37" s="101"/>
      <c r="BT37" s="101"/>
      <c r="BU37" s="101"/>
      <c r="BV37" s="101"/>
      <c r="BY37" s="257" t="s">
        <v>200</v>
      </c>
      <c r="BZ37" s="253"/>
      <c r="CA37" s="253"/>
      <c r="CB37" s="264">
        <f>SUM(CB15:CB20)</f>
        <v>456720</v>
      </c>
      <c r="CC37" s="264">
        <f>SUM(CC15:CC20)</f>
        <v>117920</v>
      </c>
      <c r="CD37" s="264">
        <f>SUM(CD15:CD20)</f>
        <v>117920</v>
      </c>
      <c r="CE37" s="264">
        <f>SUM(CE15:CE20)</f>
        <v>117920</v>
      </c>
      <c r="CF37" s="266">
        <f>SUM(CF15:CF20)</f>
        <v>117920</v>
      </c>
      <c r="CI37" s="491">
        <f t="shared" ref="CI37:CO37" si="56">SUM(CI15:CI20)</f>
        <v>117920</v>
      </c>
      <c r="CJ37" s="492">
        <f t="shared" si="56"/>
        <v>117920</v>
      </c>
      <c r="CK37" s="492">
        <f t="shared" si="56"/>
        <v>117920</v>
      </c>
      <c r="CL37" s="492">
        <f t="shared" si="56"/>
        <v>117920</v>
      </c>
      <c r="CM37" s="492">
        <f t="shared" si="56"/>
        <v>117920</v>
      </c>
      <c r="CN37" s="492">
        <f t="shared" si="56"/>
        <v>117920</v>
      </c>
      <c r="CO37" s="493">
        <f t="shared" si="56"/>
        <v>117920</v>
      </c>
      <c r="CP37" s="494">
        <f t="shared" ref="CP37" si="57">SUM(CB37:CO37)</f>
        <v>1753840</v>
      </c>
    </row>
    <row r="38" spans="2:94" ht="15" customHeight="1" thickTop="1">
      <c r="K38" s="40" t="str">
        <f>'Données à saisir'!A60</f>
        <v>Apport personnel ou familial</v>
      </c>
      <c r="Q38" s="185">
        <f>IF(ISBLANK('Données à saisir'!B60),0,'Données à saisir'!B60)</f>
        <v>38800</v>
      </c>
      <c r="T38" s="40"/>
      <c r="X38" s="144"/>
      <c r="Y38" s="144"/>
      <c r="Z38" s="145"/>
      <c r="AC38" s="85" t="s">
        <v>14</v>
      </c>
      <c r="AG38" s="164">
        <f>X21</f>
        <v>55546</v>
      </c>
      <c r="AH38" s="164">
        <f>Y21</f>
        <v>63877.899999999994</v>
      </c>
      <c r="AI38" s="166">
        <f>Z21</f>
        <v>70265.69</v>
      </c>
      <c r="AJ38" s="164" t="e">
        <f>#REF!</f>
        <v>#REF!</v>
      </c>
      <c r="AK38" s="171" t="e">
        <f>#REF!</f>
        <v>#REF!</v>
      </c>
      <c r="BC38" s="96" t="s">
        <v>158</v>
      </c>
      <c r="BD38" s="78"/>
      <c r="BE38" s="78"/>
      <c r="BF38" s="178">
        <f>'Données à saisir'!D131</f>
        <v>60</v>
      </c>
      <c r="BG38" s="173">
        <f>BG12/365*$BF38</f>
        <v>12922.739726027397</v>
      </c>
      <c r="BH38" s="174">
        <f>BH12/365*$BF38</f>
        <v>14215.013698630139</v>
      </c>
      <c r="BI38" s="175">
        <f>BI12/365*$BF38</f>
        <v>15636.51506849315</v>
      </c>
      <c r="BJ38" s="174">
        <f>BJ12/365*$BF38</f>
        <v>17200.166575342464</v>
      </c>
      <c r="BK38" s="176">
        <f>BK12/365*$BF38</f>
        <v>18920.183232876712</v>
      </c>
      <c r="BN38" s="101"/>
      <c r="BO38" s="101"/>
      <c r="BP38" s="101"/>
      <c r="BQ38" s="101"/>
      <c r="BR38" s="101"/>
      <c r="BS38" s="101"/>
      <c r="BT38" s="101"/>
      <c r="BU38" s="101"/>
      <c r="BV38" s="101"/>
      <c r="BY38" s="85" t="s">
        <v>199</v>
      </c>
      <c r="CB38" s="155">
        <v>0</v>
      </c>
      <c r="CC38" s="164">
        <f>CB40</f>
        <v>262940.8208333333</v>
      </c>
      <c r="CD38" s="164">
        <f>CC40</f>
        <v>313381.6416666666</v>
      </c>
      <c r="CE38" s="164">
        <f>CD40</f>
        <v>363822.46249999991</v>
      </c>
      <c r="CF38" s="182">
        <f>CE40</f>
        <v>414263.28333333321</v>
      </c>
      <c r="CI38" s="483">
        <f>CF40</f>
        <v>464704.10416666651</v>
      </c>
      <c r="CJ38" s="484">
        <f t="shared" ref="CJ38:CO38" si="58">CI40</f>
        <v>515144.92499999981</v>
      </c>
      <c r="CK38" s="484">
        <f t="shared" si="58"/>
        <v>565585.74583333312</v>
      </c>
      <c r="CL38" s="484">
        <f t="shared" si="58"/>
        <v>616026.56666666642</v>
      </c>
      <c r="CM38" s="484">
        <f t="shared" si="58"/>
        <v>666467.38749999972</v>
      </c>
      <c r="CN38" s="484">
        <f t="shared" si="58"/>
        <v>716908.20833333302</v>
      </c>
      <c r="CO38" s="485">
        <f t="shared" si="58"/>
        <v>767349.02916666633</v>
      </c>
      <c r="CP38" s="486"/>
    </row>
    <row r="39" spans="2:94" ht="15" customHeight="1">
      <c r="K39" s="40" t="str">
        <f>'Données à saisir'!A61</f>
        <v>Apports en nature (en valeur)</v>
      </c>
      <c r="Q39" s="185">
        <f>IF(ISBLANK('Données à saisir'!B61),0,'Données à saisir'!B61)</f>
        <v>0</v>
      </c>
      <c r="T39" s="40"/>
      <c r="X39" s="144"/>
      <c r="Y39" s="144"/>
      <c r="Z39" s="145"/>
      <c r="AC39" s="36" t="s">
        <v>65</v>
      </c>
      <c r="AG39" s="158">
        <f>'Données à saisir'!B137</f>
        <v>50000</v>
      </c>
      <c r="AH39" s="158">
        <f>'Données à saisir'!C137</f>
        <v>60000</v>
      </c>
      <c r="AI39" s="159">
        <f>'Données à saisir'!D137</f>
        <v>70000</v>
      </c>
      <c r="AJ39" s="158">
        <f>'Données à saisir'!E137</f>
        <v>85000</v>
      </c>
      <c r="AK39" s="160">
        <f>'Données à saisir'!F137</f>
        <v>90000</v>
      </c>
      <c r="BC39" s="272" t="s">
        <v>161</v>
      </c>
      <c r="BD39" s="273"/>
      <c r="BE39" s="253"/>
      <c r="BF39" s="274"/>
      <c r="BG39" s="275">
        <f>BG36-BG38</f>
        <v>103381.91780821916</v>
      </c>
      <c r="BH39" s="276">
        <f>BH36-BH38</f>
        <v>113720.10958904109</v>
      </c>
      <c r="BI39" s="277">
        <f>BI36-BI38</f>
        <v>125092.1205479452</v>
      </c>
      <c r="BJ39" s="276">
        <f>BJ36-BJ38</f>
        <v>137601.33260273974</v>
      </c>
      <c r="BK39" s="278">
        <f>BK36-BK38</f>
        <v>151361.4658630137</v>
      </c>
      <c r="BN39" s="101"/>
      <c r="BO39" s="101"/>
      <c r="BP39" s="101"/>
      <c r="BQ39" s="101"/>
      <c r="BR39" s="101"/>
      <c r="BS39" s="101"/>
      <c r="BT39" s="101"/>
      <c r="BU39" s="101"/>
      <c r="BV39" s="101"/>
      <c r="BY39" s="54" t="s">
        <v>204</v>
      </c>
      <c r="BZ39" s="44"/>
      <c r="CA39" s="44"/>
      <c r="CB39" s="158">
        <f>CB37-CB36</f>
        <v>262940.8208333333</v>
      </c>
      <c r="CC39" s="158">
        <f t="shared" ref="CC39:CO39" si="59">CC37-CC36</f>
        <v>50440.820833333331</v>
      </c>
      <c r="CD39" s="158">
        <f t="shared" si="59"/>
        <v>50440.820833333331</v>
      </c>
      <c r="CE39" s="158">
        <f t="shared" si="59"/>
        <v>50440.820833333331</v>
      </c>
      <c r="CF39" s="162">
        <f t="shared" si="59"/>
        <v>50440.820833333331</v>
      </c>
      <c r="CG39" s="1"/>
      <c r="CH39" s="1"/>
      <c r="CI39" s="497">
        <f t="shared" si="59"/>
        <v>50440.820833333331</v>
      </c>
      <c r="CJ39" s="495">
        <f t="shared" si="59"/>
        <v>50440.820833333331</v>
      </c>
      <c r="CK39" s="495">
        <f t="shared" si="59"/>
        <v>50440.820833333331</v>
      </c>
      <c r="CL39" s="495">
        <f t="shared" si="59"/>
        <v>50440.820833333331</v>
      </c>
      <c r="CM39" s="495">
        <f t="shared" si="59"/>
        <v>50440.820833333331</v>
      </c>
      <c r="CN39" s="495">
        <f t="shared" si="59"/>
        <v>50440.820833333331</v>
      </c>
      <c r="CO39" s="496">
        <f t="shared" si="59"/>
        <v>50440.820833333331</v>
      </c>
      <c r="CP39" s="498"/>
    </row>
    <row r="40" spans="2:94" ht="15" customHeight="1" thickBot="1">
      <c r="K40" s="36" t="s">
        <v>52</v>
      </c>
      <c r="N40" s="71" t="s">
        <v>114</v>
      </c>
      <c r="O40" s="71" t="s">
        <v>115</v>
      </c>
      <c r="Q40" s="184">
        <f>SUM(Q41:Q43)</f>
        <v>300000</v>
      </c>
      <c r="T40" s="77" t="s">
        <v>125</v>
      </c>
      <c r="U40" s="32"/>
      <c r="V40" s="32"/>
      <c r="W40" s="32"/>
      <c r="X40" s="140">
        <f>SUM(X42:X46)</f>
        <v>25260</v>
      </c>
      <c r="Y40" s="140">
        <f>SUM(Y42:Y46)</f>
        <v>25260</v>
      </c>
      <c r="Z40" s="146">
        <f>SUM(Z42:Z46)</f>
        <v>25260</v>
      </c>
      <c r="AC40" s="85" t="s">
        <v>64</v>
      </c>
      <c r="AF40" s="3"/>
      <c r="AG40" s="164">
        <f>X17</f>
        <v>22500</v>
      </c>
      <c r="AH40" s="164">
        <f>Y17</f>
        <v>27000</v>
      </c>
      <c r="AI40" s="166">
        <f>Z17</f>
        <v>31500</v>
      </c>
      <c r="AJ40" s="164" t="e">
        <f>#REF!</f>
        <v>#REF!</v>
      </c>
      <c r="AK40" s="171" t="e">
        <f>#REF!</f>
        <v>#REF!</v>
      </c>
      <c r="AQ40" s="626" t="s">
        <v>25</v>
      </c>
      <c r="AR40" s="248"/>
      <c r="AS40" s="593" t="s">
        <v>26</v>
      </c>
      <c r="AT40" s="298"/>
      <c r="AU40" s="593" t="s">
        <v>27</v>
      </c>
      <c r="AV40" s="248"/>
      <c r="AW40" s="593" t="s">
        <v>73</v>
      </c>
      <c r="AX40" s="298"/>
      <c r="AY40" s="248" t="s">
        <v>74</v>
      </c>
      <c r="AZ40" s="249"/>
      <c r="BY40" s="257" t="s">
        <v>205</v>
      </c>
      <c r="BZ40" s="253"/>
      <c r="CA40" s="253"/>
      <c r="CB40" s="254">
        <f>CB39</f>
        <v>262940.8208333333</v>
      </c>
      <c r="CC40" s="254">
        <f>CC38+CC39</f>
        <v>313381.6416666666</v>
      </c>
      <c r="CD40" s="254">
        <f>CD38+CD39</f>
        <v>363822.46249999991</v>
      </c>
      <c r="CE40" s="254">
        <f>CE38+CE39</f>
        <v>414263.28333333321</v>
      </c>
      <c r="CF40" s="256">
        <f t="shared" ref="CF40:CO40" si="60">CF38+CF39</f>
        <v>464704.10416666651</v>
      </c>
      <c r="CI40" s="499">
        <f t="shared" si="60"/>
        <v>515144.92499999981</v>
      </c>
      <c r="CJ40" s="500">
        <f t="shared" si="60"/>
        <v>565585.74583333312</v>
      </c>
      <c r="CK40" s="500">
        <f t="shared" si="60"/>
        <v>616026.56666666642</v>
      </c>
      <c r="CL40" s="500">
        <f t="shared" si="60"/>
        <v>666467.38749999972</v>
      </c>
      <c r="CM40" s="500">
        <f t="shared" si="60"/>
        <v>716908.20833333302</v>
      </c>
      <c r="CN40" s="500">
        <f t="shared" si="60"/>
        <v>767349.02916666633</v>
      </c>
      <c r="CO40" s="501">
        <f t="shared" si="60"/>
        <v>817789.84999999963</v>
      </c>
      <c r="CP40" s="502"/>
    </row>
    <row r="41" spans="2:94" ht="15" customHeight="1" thickTop="1">
      <c r="B41" s="21"/>
      <c r="C41" s="22"/>
      <c r="D41" s="22"/>
      <c r="E41" s="22"/>
      <c r="F41" s="22"/>
      <c r="G41" s="22"/>
      <c r="H41" s="23"/>
      <c r="K41" s="40" t="str">
        <f>IF(ISBLANK('Données à saisir'!A62),"",'Données à saisir'!A62)</f>
        <v>Prêt n°1 (SOCIETE GENERALE)</v>
      </c>
      <c r="N41" s="130">
        <f>IF(ISBLANK('Données à saisir'!C62),"",'Données à saisir'!C62)</f>
        <v>3.4000000000000002E-2</v>
      </c>
      <c r="O41" s="70">
        <f>IF(ISBLANK('Données à saisir'!D62),"",'Données à saisir'!D62)</f>
        <v>7</v>
      </c>
      <c r="Q41" s="185">
        <f>IF(ISBLANK('Données à saisir'!B62),0,'Données à saisir'!B62)</f>
        <v>150000</v>
      </c>
      <c r="T41" s="33"/>
      <c r="X41" s="142"/>
      <c r="Y41" s="142"/>
      <c r="Z41" s="143"/>
      <c r="AC41" s="257" t="s">
        <v>103</v>
      </c>
      <c r="AD41" s="253"/>
      <c r="AE41" s="253"/>
      <c r="AF41" s="253"/>
      <c r="AG41" s="254">
        <f>AG35-SUM(AG36:AG40)</f>
        <v>590838.66666666674</v>
      </c>
      <c r="AH41" s="254">
        <f t="shared" ref="AH41:AI41" si="61">AH35-SUM(AH36:AH40)</f>
        <v>630466.33333333326</v>
      </c>
      <c r="AI41" s="255">
        <f t="shared" si="61"/>
        <v>693179.94916666648</v>
      </c>
      <c r="AJ41" s="254" t="e">
        <f t="shared" ref="AJ41:AK41" si="62">AJ35-SUM(AJ36:AJ40)</f>
        <v>#REF!</v>
      </c>
      <c r="AK41" s="256" t="e">
        <f t="shared" si="62"/>
        <v>#REF!</v>
      </c>
      <c r="AN41" s="44"/>
      <c r="AQ41" s="627"/>
      <c r="AR41" s="299"/>
      <c r="AS41" s="594"/>
      <c r="AT41" s="300"/>
      <c r="AU41" s="594"/>
      <c r="AV41" s="299"/>
      <c r="AW41" s="594"/>
      <c r="AX41" s="300"/>
      <c r="AY41" s="252"/>
      <c r="AZ41" s="301"/>
      <c r="BY41" s="85"/>
      <c r="CB41" s="120" t="str">
        <f>IF(CB40&lt;0,CB40,"")</f>
        <v/>
      </c>
      <c r="CC41" s="120" t="str">
        <f t="shared" ref="CC41:CO41" si="63">IF(CC40&lt;0,CC40,"")</f>
        <v/>
      </c>
      <c r="CD41" s="120" t="str">
        <f t="shared" si="63"/>
        <v/>
      </c>
      <c r="CE41" s="120" t="str">
        <f t="shared" si="63"/>
        <v/>
      </c>
      <c r="CF41" s="121" t="str">
        <f t="shared" si="63"/>
        <v/>
      </c>
      <c r="CG41" s="122" t="str">
        <f t="shared" si="63"/>
        <v/>
      </c>
      <c r="CH41" s="122" t="str">
        <f t="shared" si="63"/>
        <v/>
      </c>
      <c r="CI41" s="503" t="str">
        <f t="shared" si="63"/>
        <v/>
      </c>
      <c r="CJ41" s="504" t="str">
        <f t="shared" si="63"/>
        <v/>
      </c>
      <c r="CK41" s="504" t="str">
        <f t="shared" si="63"/>
        <v/>
      </c>
      <c r="CL41" s="504" t="str">
        <f t="shared" si="63"/>
        <v/>
      </c>
      <c r="CM41" s="504" t="str">
        <f t="shared" si="63"/>
        <v/>
      </c>
      <c r="CN41" s="504" t="str">
        <f t="shared" si="63"/>
        <v/>
      </c>
      <c r="CO41" s="505" t="str">
        <f t="shared" si="63"/>
        <v/>
      </c>
      <c r="CP41" s="506">
        <f>SUM(CB41:CO41)</f>
        <v>0</v>
      </c>
    </row>
    <row r="42" spans="2:94" ht="15" customHeight="1" thickBot="1">
      <c r="B42" s="24"/>
      <c r="C42" s="600" t="str">
        <f>IF(ISBLANK('Données à saisir'!B10),"",('Données à saisir'!B10))</f>
        <v>06.86.27.18.97</v>
      </c>
      <c r="D42" s="600"/>
      <c r="E42" s="600"/>
      <c r="F42" s="600"/>
      <c r="G42" s="600"/>
      <c r="H42" s="25"/>
      <c r="K42" s="40" t="str">
        <f>IF(ISBLANK('Données à saisir'!A63),"",'Données à saisir'!A63)</f>
        <v>Prêt n°2 (SOCIETE GENERALE)</v>
      </c>
      <c r="N42" s="130">
        <f>IF(ISBLANK('Données à saisir'!C63),"",'Données à saisir'!C63)</f>
        <v>3.4000000000000002E-2</v>
      </c>
      <c r="O42" s="70">
        <f>IF(ISBLANK('Données à saisir'!D63),"",'Données à saisir'!D63)</f>
        <v>7</v>
      </c>
      <c r="Q42" s="185">
        <f>IF(ISBLANK('Données à saisir'!B63),0,'Données à saisir'!B63)</f>
        <v>150000</v>
      </c>
      <c r="T42" s="40" t="str">
        <f>K24</f>
        <v>Enseigne et éléments de communication</v>
      </c>
      <c r="X42" s="144">
        <f>'Données à saisir'!C51</f>
        <v>0</v>
      </c>
      <c r="Y42" s="144">
        <f>'Données à saisir'!D51</f>
        <v>0</v>
      </c>
      <c r="Z42" s="145">
        <f>'Données à saisir'!E51</f>
        <v>0</v>
      </c>
      <c r="AC42" s="36" t="s">
        <v>106</v>
      </c>
      <c r="AD42" s="1"/>
      <c r="AE42" s="1"/>
      <c r="AF42" s="1"/>
      <c r="AG42" s="158">
        <f>'Données à saisir'!B91+'Amortissement de prêt '!J30</f>
        <v>14455.87</v>
      </c>
      <c r="AH42" s="158">
        <f>'Données à saisir'!C91+'Amortissement de prêt '!J42</f>
        <v>12923.93</v>
      </c>
      <c r="AI42" s="159">
        <f>'Données à saisir'!D91+'Amortissement de prêt '!J66</f>
        <v>9531.4850000000006</v>
      </c>
      <c r="AJ42" s="158">
        <f>'Données à saisir'!E91+'Amortissement de prêt '!J66</f>
        <v>9657.7212500000005</v>
      </c>
      <c r="AK42" s="160">
        <f>'Données à saisir'!F91+'Amortissement de prêt '!J78</f>
        <v>7917.5593124999996</v>
      </c>
      <c r="AN42" s="302" t="s">
        <v>136</v>
      </c>
      <c r="AO42" s="253"/>
      <c r="AP42" s="253"/>
      <c r="AQ42" s="303">
        <f>AQ27</f>
        <v>417652.09750000003</v>
      </c>
      <c r="AR42" s="304"/>
      <c r="AS42" s="303">
        <f>AS27</f>
        <v>448521.80249999987</v>
      </c>
      <c r="AT42" s="304"/>
      <c r="AU42" s="305">
        <f>AU27</f>
        <v>498101.3481249999</v>
      </c>
      <c r="AV42" s="255"/>
      <c r="AW42" s="303" t="e">
        <f>AW27</f>
        <v>#REF!</v>
      </c>
      <c r="AX42" s="304"/>
      <c r="AY42" s="305" t="e">
        <f>AY27</f>
        <v>#REF!</v>
      </c>
      <c r="AZ42" s="256"/>
      <c r="BC42" s="95"/>
      <c r="BD42" s="95"/>
      <c r="BF42" s="100"/>
      <c r="BG42" s="637"/>
      <c r="BH42" s="637"/>
      <c r="BI42" s="637"/>
      <c r="BJ42" s="104"/>
      <c r="BK42" s="104"/>
      <c r="BN42" s="95"/>
      <c r="BO42" s="95"/>
      <c r="BQ42" s="100"/>
      <c r="BR42" s="44"/>
      <c r="BS42" s="44"/>
      <c r="BT42" s="44"/>
      <c r="BU42" s="44"/>
      <c r="BV42" s="44"/>
      <c r="BY42" s="93"/>
      <c r="BZ42" s="34"/>
      <c r="CA42" s="34"/>
      <c r="CB42" s="49"/>
      <c r="CC42" s="49"/>
      <c r="CD42" s="49"/>
      <c r="CE42" s="49"/>
      <c r="CF42" s="47"/>
      <c r="CI42" s="112"/>
      <c r="CJ42" s="49"/>
      <c r="CK42" s="49"/>
      <c r="CL42" s="49"/>
      <c r="CM42" s="49"/>
      <c r="CN42" s="49"/>
      <c r="CO42" s="88"/>
      <c r="CP42" s="113"/>
    </row>
    <row r="43" spans="2:94" ht="15" customHeight="1">
      <c r="B43" s="24"/>
      <c r="C43" s="601" t="str">
        <f>IF(ISBLANK('Données à saisir'!B11),"",('Données à saisir'!B11))</f>
        <v>contact@egjstartp.fr</v>
      </c>
      <c r="D43" s="601"/>
      <c r="E43" s="601"/>
      <c r="F43" s="601"/>
      <c r="G43" s="601"/>
      <c r="H43" s="25"/>
      <c r="K43" s="40" t="str">
        <f>IF(ISBLANK('Données à saisir'!A64),"",'Données à saisir'!A64)</f>
        <v>Prêt n°3 (nom de la banque)</v>
      </c>
      <c r="N43" s="130" t="str">
        <f>IF(ISBLANK('Données à saisir'!C64),"",'Données à saisir'!C64)</f>
        <v/>
      </c>
      <c r="O43" s="70" t="str">
        <f>IF(ISBLANK('Données à saisir'!D64),"",'Données à saisir'!D64)</f>
        <v/>
      </c>
      <c r="Q43" s="185">
        <f>IF(ISBLANK('Données à saisir'!B64),0,'Données à saisir'!B64)</f>
        <v>0</v>
      </c>
      <c r="T43" s="40" t="str">
        <f>K25</f>
        <v>Mobilier et matériel informatique</v>
      </c>
      <c r="X43" s="144">
        <f>'Amortissement des immos'!G14</f>
        <v>260</v>
      </c>
      <c r="Y43" s="144">
        <f>X43</f>
        <v>260</v>
      </c>
      <c r="Z43" s="145">
        <f>X43</f>
        <v>260</v>
      </c>
      <c r="AC43" s="36" t="s">
        <v>66</v>
      </c>
      <c r="AD43" s="1"/>
      <c r="AE43" s="1"/>
      <c r="AF43" s="1"/>
      <c r="AG43" s="158">
        <f>X48</f>
        <v>25260</v>
      </c>
      <c r="AH43" s="158">
        <f>Y48</f>
        <v>25260</v>
      </c>
      <c r="AI43" s="159">
        <f>Z48</f>
        <v>25260</v>
      </c>
      <c r="AJ43" s="158" t="e">
        <f>#REF!</f>
        <v>#REF!</v>
      </c>
      <c r="AK43" s="160" t="e">
        <f>#REF!</f>
        <v>#REF!</v>
      </c>
      <c r="AN43" s="210" t="s">
        <v>242</v>
      </c>
      <c r="AO43" s="1"/>
      <c r="AP43" s="1"/>
      <c r="AQ43" s="201">
        <f>AQ22</f>
        <v>25260</v>
      </c>
      <c r="AR43" s="89"/>
      <c r="AS43" s="201">
        <f>AS22</f>
        <v>25260</v>
      </c>
      <c r="AT43" s="89"/>
      <c r="AU43" s="203">
        <f>AU22</f>
        <v>25260</v>
      </c>
      <c r="AV43" s="86"/>
      <c r="AW43" s="201" t="e">
        <f>AW22</f>
        <v>#REF!</v>
      </c>
      <c r="AX43" s="89"/>
      <c r="AY43" s="203" t="e">
        <f>AY22</f>
        <v>#REF!</v>
      </c>
      <c r="AZ43" s="84"/>
      <c r="BC43" s="1"/>
      <c r="BG43" s="637"/>
      <c r="BH43" s="637"/>
      <c r="BI43" s="637"/>
      <c r="BJ43" s="104"/>
      <c r="BK43" s="104"/>
      <c r="BN43" s="1"/>
      <c r="BR43" s="44"/>
      <c r="BS43" s="44"/>
      <c r="BT43" s="44"/>
      <c r="BU43" s="44"/>
      <c r="BV43" s="44"/>
      <c r="BY43" s="74"/>
      <c r="BZ43" s="1"/>
      <c r="CA43" s="1"/>
      <c r="CB43" s="72"/>
      <c r="CC43" s="72"/>
      <c r="CD43" s="72"/>
      <c r="CE43" s="72"/>
      <c r="CF43" s="72"/>
      <c r="CO43" s="66"/>
    </row>
    <row r="44" spans="2:94" ht="15" customHeight="1">
      <c r="B44" s="24"/>
      <c r="C44" s="601" t="str">
        <f>IF(ISBLANK('Données à saisir'!B12),"",('Données à saisir'!B12))</f>
        <v>116 AV FONTAINBLEAU 
94270 LE KREMLIN BICETRE</v>
      </c>
      <c r="D44" s="601"/>
      <c r="E44" s="601"/>
      <c r="F44" s="601"/>
      <c r="G44" s="601"/>
      <c r="H44" s="25"/>
      <c r="K44" s="36" t="str">
        <f>IF(ISBLANK('Données à saisir'!A65),"",'Données à saisir'!A65)</f>
        <v>Subvention n°1 (libellé)</v>
      </c>
      <c r="Q44" s="184">
        <f>IF(ISBLANK('Données à saisir'!B65),0,'Données à saisir'!B65)</f>
        <v>0</v>
      </c>
      <c r="T44" s="40" t="str">
        <f>K26</f>
        <v>Engins eu autres materiaux de construction</v>
      </c>
      <c r="X44" s="144">
        <f>'Données à saisir'!C53</f>
        <v>0</v>
      </c>
      <c r="Y44" s="144" t="str">
        <f>'Données à saisir'!D53</f>
        <v/>
      </c>
      <c r="Z44" s="145" t="str">
        <f>'Données à saisir'!E53</f>
        <v/>
      </c>
      <c r="AC44" s="257" t="s">
        <v>104</v>
      </c>
      <c r="AD44" s="253"/>
      <c r="AE44" s="253"/>
      <c r="AF44" s="253"/>
      <c r="AG44" s="254">
        <f>AG41-AG42-AG43</f>
        <v>551122.79666666675</v>
      </c>
      <c r="AH44" s="254">
        <f t="shared" ref="AH44:AI44" si="64">AH41-AH42-AH43</f>
        <v>592282.4033333332</v>
      </c>
      <c r="AI44" s="255">
        <f t="shared" si="64"/>
        <v>658388.4641666665</v>
      </c>
      <c r="AJ44" s="254" t="e">
        <f>AJ41-AJ42-AJ43</f>
        <v>#REF!</v>
      </c>
      <c r="AK44" s="256" t="e">
        <f>AK41-AK42-AK43</f>
        <v>#REF!</v>
      </c>
      <c r="AN44" s="302" t="s">
        <v>134</v>
      </c>
      <c r="AO44" s="253"/>
      <c r="AP44" s="253"/>
      <c r="AQ44" s="303">
        <f>AQ42+AQ43</f>
        <v>442912.09750000003</v>
      </c>
      <c r="AR44" s="304"/>
      <c r="AS44" s="303">
        <f t="shared" ref="AS44:AU44" si="65">AS42+AS43</f>
        <v>473781.80249999987</v>
      </c>
      <c r="AT44" s="304"/>
      <c r="AU44" s="305">
        <f t="shared" si="65"/>
        <v>523361.3481249999</v>
      </c>
      <c r="AV44" s="255"/>
      <c r="AW44" s="303" t="e">
        <f t="shared" ref="AW44" si="66">AW42+AW43</f>
        <v>#REF!</v>
      </c>
      <c r="AX44" s="304"/>
      <c r="AY44" s="305" t="e">
        <f t="shared" ref="AY44" si="67">AY42+AY43</f>
        <v>#REF!</v>
      </c>
      <c r="AZ44" s="256"/>
      <c r="BC44" s="102"/>
      <c r="BF44" s="98"/>
      <c r="BG44" s="103"/>
      <c r="BH44" s="103"/>
      <c r="BI44" s="103"/>
      <c r="BJ44" s="103"/>
      <c r="BK44" s="103"/>
      <c r="BN44" s="102"/>
      <c r="BQ44" s="98"/>
      <c r="BR44" s="103"/>
      <c r="BS44" s="103"/>
      <c r="BT44" s="103"/>
      <c r="BU44" s="103"/>
      <c r="BV44" s="103"/>
      <c r="BY44" s="230" t="s">
        <v>250</v>
      </c>
      <c r="CB44" s="72"/>
      <c r="CC44" s="72"/>
      <c r="CD44" s="72"/>
      <c r="CE44" s="72"/>
      <c r="CF44" s="72"/>
      <c r="CO44" s="66"/>
    </row>
    <row r="45" spans="2:94" ht="15" customHeight="1">
      <c r="B45" s="24"/>
      <c r="H45" s="25"/>
      <c r="K45" s="36" t="str">
        <f>IF(ISBLANK('Données à saisir'!A66),"",'Données à saisir'!A66)</f>
        <v>Subvention n°2 (libellé)</v>
      </c>
      <c r="Q45" s="184">
        <f>IF(ISBLANK('Données à saisir'!B66),0,'Données à saisir'!B66)</f>
        <v>0</v>
      </c>
      <c r="T45" s="40" t="str">
        <f>K27</f>
        <v xml:space="preserve">Matériel de transport </v>
      </c>
      <c r="X45" s="144">
        <f>'Amortissement des immos'!G18</f>
        <v>5000</v>
      </c>
      <c r="Y45" s="144">
        <f t="shared" ref="Y45:Z46" si="68">X45</f>
        <v>5000</v>
      </c>
      <c r="Z45" s="145">
        <f t="shared" si="68"/>
        <v>5000</v>
      </c>
      <c r="AC45" s="36" t="str">
        <f>IF(ISERROR(+IF((VLOOKUP('Données à saisir'!B9,'Données à saisir'!J12:K17,2,0))="IR","","Impôt sur les sociétés")),"",+IF((VLOOKUP('Données à saisir'!B9,'Données à saisir'!J12:K17,2,0))="IR","","Impôt sur les sociétés"))</f>
        <v>Impôt sur les sociétés</v>
      </c>
      <c r="AE45" s="1"/>
      <c r="AG45" s="158">
        <f>6315+(AG44-42500)*0.25</f>
        <v>133470.69916666669</v>
      </c>
      <c r="AH45" s="158">
        <f>6315+(AH44-42500)*0.25</f>
        <v>143760.6008333333</v>
      </c>
      <c r="AI45" s="158">
        <f>6315+(AI44-42500)*0.25</f>
        <v>160287.11604166662</v>
      </c>
      <c r="AJ45" s="158" t="e">
        <f t="shared" ref="AJ45:AK45" si="69">6315+(AJ44-42500)*0.25</f>
        <v>#REF!</v>
      </c>
      <c r="AK45" s="158" t="e">
        <f t="shared" si="69"/>
        <v>#REF!</v>
      </c>
      <c r="AN45" s="211" t="s">
        <v>241</v>
      </c>
      <c r="AQ45" s="201">
        <f>'Amortissement de prêt '!I30</f>
        <v>49706.28</v>
      </c>
      <c r="AR45" s="89"/>
      <c r="AS45" s="201">
        <f>'Amortissement de prêt '!I42</f>
        <v>49706.28</v>
      </c>
      <c r="AT45" s="89"/>
      <c r="AU45" s="203">
        <f>'Amortissement de prêt '!I54</f>
        <v>49706.28</v>
      </c>
      <c r="AV45" s="86"/>
      <c r="AW45" s="201">
        <f>'Amortissement de prêt '!I66</f>
        <v>49706.28</v>
      </c>
      <c r="AX45" s="89"/>
      <c r="AY45" s="203">
        <f>'Amortissement de prêt '!I78</f>
        <v>49706.28</v>
      </c>
      <c r="AZ45" s="84"/>
      <c r="BC45" s="102"/>
      <c r="BF45" s="98"/>
      <c r="BG45" s="103"/>
      <c r="BH45" s="103"/>
      <c r="BI45" s="103"/>
      <c r="BJ45" s="103"/>
      <c r="BK45" s="103"/>
      <c r="BN45" s="102"/>
      <c r="BQ45" s="98"/>
      <c r="BR45" s="103"/>
      <c r="BS45" s="103"/>
      <c r="BT45" s="103"/>
      <c r="BU45" s="103"/>
      <c r="BV45" s="103"/>
      <c r="BY45" s="231" t="s">
        <v>251</v>
      </c>
      <c r="CB45" s="72"/>
      <c r="CC45" s="72"/>
      <c r="CD45" s="72"/>
      <c r="CE45" s="72"/>
      <c r="CF45" s="72"/>
    </row>
    <row r="46" spans="2:94" ht="15" customHeight="1">
      <c r="B46" s="24"/>
      <c r="H46" s="25"/>
      <c r="K46" s="36" t="str">
        <f>IF(ISBLANK('Données à saisir'!A67),"",'Données à saisir'!A67)</f>
        <v>Autre financement (libellé)</v>
      </c>
      <c r="Q46" s="184" t="str">
        <f>IF(ISBLANK('Données à saisir'!B67),"",'Données à saisir'!B67)</f>
        <v/>
      </c>
      <c r="T46" s="40" t="str">
        <f>K28</f>
        <v>Equipement</v>
      </c>
      <c r="X46" s="144">
        <f>'Amortissement des immos'!G16</f>
        <v>20000</v>
      </c>
      <c r="Y46" s="144">
        <f t="shared" si="68"/>
        <v>20000</v>
      </c>
      <c r="Z46" s="145">
        <f t="shared" si="68"/>
        <v>20000</v>
      </c>
      <c r="AC46" s="37"/>
      <c r="AG46" s="164"/>
      <c r="AH46" s="164"/>
      <c r="AI46" s="159"/>
      <c r="AJ46" s="158"/>
      <c r="AK46" s="160"/>
      <c r="AN46" s="209" t="s">
        <v>137</v>
      </c>
      <c r="AO46" s="42"/>
      <c r="AP46" s="42"/>
      <c r="AQ46" s="202">
        <f>AQ44-AQ45</f>
        <v>393205.8175</v>
      </c>
      <c r="AR46" s="90"/>
      <c r="AS46" s="202">
        <f>AS44-AS45</f>
        <v>424075.52249999985</v>
      </c>
      <c r="AT46" s="90"/>
      <c r="AU46" s="204">
        <f>AU44-AU45</f>
        <v>473655.06812499987</v>
      </c>
      <c r="AV46" s="87"/>
      <c r="AW46" s="202" t="e">
        <f>AW44-AW45</f>
        <v>#REF!</v>
      </c>
      <c r="AX46" s="90"/>
      <c r="AY46" s="204" t="e">
        <f>AY44-AY45</f>
        <v>#REF!</v>
      </c>
      <c r="AZ46" s="47"/>
      <c r="BC46" s="105"/>
      <c r="BD46" s="106"/>
      <c r="BF46" s="106"/>
      <c r="BG46" s="107"/>
      <c r="BH46" s="107"/>
      <c r="BI46" s="107"/>
      <c r="BJ46" s="107"/>
      <c r="BK46" s="107"/>
      <c r="BN46" s="105"/>
      <c r="BO46" s="106"/>
      <c r="BQ46" s="106"/>
      <c r="BR46" s="107"/>
      <c r="BS46" s="107"/>
      <c r="BT46" s="107"/>
      <c r="BU46" s="107"/>
      <c r="BV46" s="107"/>
      <c r="BY46" s="75"/>
      <c r="CB46" s="86"/>
      <c r="CC46" s="86"/>
      <c r="CD46" s="86"/>
      <c r="CE46" s="86"/>
      <c r="CF46" s="72"/>
    </row>
    <row r="47" spans="2:94" ht="15" customHeight="1">
      <c r="B47" s="24"/>
      <c r="C47" s="597">
        <f ca="1">TODAY()</f>
        <v>45671</v>
      </c>
      <c r="D47" s="598"/>
      <c r="E47" s="598"/>
      <c r="F47" s="598"/>
      <c r="G47" s="598"/>
      <c r="H47" s="25"/>
      <c r="K47" s="33"/>
      <c r="Q47" s="186"/>
      <c r="T47" s="76"/>
      <c r="U47" s="34"/>
      <c r="V47" s="34"/>
      <c r="W47" s="34"/>
      <c r="X47" s="147"/>
      <c r="Y47" s="147"/>
      <c r="Z47" s="148"/>
      <c r="AC47" s="257" t="s">
        <v>215</v>
      </c>
      <c r="AD47" s="253"/>
      <c r="AE47" s="253"/>
      <c r="AF47" s="253"/>
      <c r="AG47" s="254">
        <f>AG44-SUM(AG45)</f>
        <v>417652.09750000003</v>
      </c>
      <c r="AH47" s="254">
        <f t="shared" ref="AH47:AI47" si="70">AH44-SUM(AH45)</f>
        <v>448521.80249999987</v>
      </c>
      <c r="AI47" s="255">
        <f t="shared" si="70"/>
        <v>498101.3481249999</v>
      </c>
      <c r="AJ47" s="254" t="e">
        <f t="shared" ref="AJ47:AK47" si="71">AJ44-SUM(AJ45)</f>
        <v>#REF!</v>
      </c>
      <c r="AK47" s="256" t="e">
        <f t="shared" si="71"/>
        <v>#REF!</v>
      </c>
      <c r="BY47" s="1"/>
      <c r="CB47" s="72"/>
      <c r="CC47" s="72"/>
      <c r="CD47" s="72"/>
      <c r="CE47" s="72"/>
      <c r="CF47" s="72"/>
    </row>
    <row r="48" spans="2:94" ht="15" customHeight="1" thickBot="1">
      <c r="B48" s="26"/>
      <c r="C48" s="27"/>
      <c r="D48" s="27"/>
      <c r="E48" s="27"/>
      <c r="F48" s="27"/>
      <c r="G48" s="27"/>
      <c r="H48" s="28"/>
      <c r="K48" s="41"/>
      <c r="L48" s="34"/>
      <c r="M48" s="34"/>
      <c r="N48" s="34"/>
      <c r="O48" s="42" t="s">
        <v>57</v>
      </c>
      <c r="P48" s="34"/>
      <c r="Q48" s="245">
        <f>SUM(Q37,Q40,Q44:Q46)</f>
        <v>338800</v>
      </c>
      <c r="T48" s="79" t="s">
        <v>126</v>
      </c>
      <c r="U48" s="78"/>
      <c r="V48" s="78"/>
      <c r="W48" s="78"/>
      <c r="X48" s="149">
        <f>SUM(X31,X40)</f>
        <v>25260</v>
      </c>
      <c r="Y48" s="149">
        <f>SUM(Y31,Y40)</f>
        <v>25260</v>
      </c>
      <c r="Z48" s="150">
        <f>SUM(Z31,Z40)</f>
        <v>25260</v>
      </c>
      <c r="AC48" s="41"/>
      <c r="AD48" s="34"/>
      <c r="AE48" s="34"/>
      <c r="AF48" s="34"/>
      <c r="AG48" s="49"/>
      <c r="AH48" s="50"/>
      <c r="AI48" s="87"/>
      <c r="AJ48" s="49"/>
      <c r="AK48" s="47"/>
      <c r="BY48" s="75"/>
      <c r="CB48" s="72"/>
      <c r="CC48" s="72"/>
      <c r="CD48" s="72"/>
      <c r="CE48" s="86"/>
      <c r="CF48" s="72"/>
    </row>
    <row r="49" spans="2:94" s="3" customFormat="1" ht="93" customHeight="1" thickTop="1">
      <c r="B49" s="117"/>
      <c r="H49" s="3">
        <v>1</v>
      </c>
      <c r="K49" s="117"/>
      <c r="Q49" s="3">
        <v>2</v>
      </c>
      <c r="T49" s="117"/>
      <c r="AB49" s="117"/>
      <c r="AC49" s="117"/>
      <c r="AK49" s="3">
        <v>4</v>
      </c>
      <c r="AN49" s="117"/>
      <c r="AZ49" s="3">
        <v>5</v>
      </c>
      <c r="BC49" s="117"/>
      <c r="BK49" s="3">
        <v>6</v>
      </c>
      <c r="BN49" s="117"/>
      <c r="BV49" s="3">
        <v>7</v>
      </c>
      <c r="BY49" s="117"/>
      <c r="CF49" s="3">
        <v>8</v>
      </c>
      <c r="CI49" s="117"/>
      <c r="CP49" s="3">
        <v>9</v>
      </c>
    </row>
    <row r="51" spans="2:94" ht="15" customHeight="1">
      <c r="X51" s="66"/>
      <c r="AG51" s="66"/>
      <c r="AQ51" s="66"/>
      <c r="AR51" s="66"/>
      <c r="BG51" s="66"/>
      <c r="BR51" s="66"/>
      <c r="CC51" s="66"/>
      <c r="CD51" s="66"/>
    </row>
    <row r="52" spans="2:94" ht="15" hidden="1" customHeight="1">
      <c r="X52" s="66"/>
      <c r="Y52" s="66"/>
      <c r="Z52" s="66"/>
      <c r="AC52" t="s">
        <v>96</v>
      </c>
      <c r="AG52" s="66">
        <f>AG35-SUM(AG36:AG38,AG42:AG43)</f>
        <v>623622.79666666675</v>
      </c>
      <c r="AH52" s="66">
        <f>AH35-SUM(AH36:AH38,AH42:AH43)</f>
        <v>679282.40333333332</v>
      </c>
      <c r="AI52" s="66">
        <f>AI35-SUM(AI36:AI38,AI42:AI43)</f>
        <v>759888.46416666638</v>
      </c>
      <c r="AJ52" s="66" t="e">
        <f>AJ35-SUM(AJ36:AJ38,AJ42:AJ43)</f>
        <v>#REF!</v>
      </c>
      <c r="AK52" s="66" t="e">
        <f>AK35-SUM(AK36:AK38,AK42:AK43)</f>
        <v>#REF!</v>
      </c>
      <c r="AQ52" s="66"/>
      <c r="AR52" s="66"/>
      <c r="AS52" s="66"/>
      <c r="AT52" s="66"/>
      <c r="AU52" s="66"/>
      <c r="AV52" s="66"/>
      <c r="AW52" s="66"/>
      <c r="AX52" s="66"/>
      <c r="AY52" s="66"/>
      <c r="AZ52" s="66"/>
      <c r="BG52" s="66"/>
      <c r="BH52" s="66"/>
      <c r="BI52" s="66"/>
      <c r="BJ52" s="66"/>
      <c r="BK52" s="66"/>
      <c r="BR52" s="66"/>
      <c r="BS52" s="66"/>
      <c r="BT52" s="66"/>
      <c r="BU52" s="66"/>
      <c r="BV52" s="66"/>
      <c r="CC52" s="66"/>
      <c r="CD52" s="66"/>
      <c r="CE52" s="66"/>
      <c r="CF52" s="66"/>
    </row>
    <row r="53" spans="2:94" ht="15" customHeight="1">
      <c r="AI53" s="66"/>
      <c r="AJ53" s="66"/>
      <c r="AK53" s="66"/>
    </row>
    <row r="54" spans="2:94" ht="15" customHeight="1">
      <c r="AG54" s="66"/>
    </row>
    <row r="55" spans="2:94" ht="15" customHeight="1">
      <c r="AG55" s="66"/>
    </row>
  </sheetData>
  <sheetProtection formatCells="0" formatColumns="0" formatRows="0" insertColumns="0" insertRows="0" insertHyperlinks="0" deleteColumns="0" deleteRows="0" sort="0" autoFilter="0" pivotTables="0"/>
  <customSheetViews>
    <customSheetView guid="{B839855F-4AE2-4622-A0C0-EA9798C0F78E}" scale="110" showGridLines="0" hiddenRows="1" topLeftCell="A16">
      <selection activeCell="CD32" sqref="CD32"/>
      <colBreaks count="8" manualBreakCount="8">
        <brk id="9" max="48" man="1"/>
        <brk id="18" max="48" man="1"/>
        <brk id="29" max="48" man="1"/>
        <brk id="40" max="48" man="1"/>
        <brk id="55" max="48" man="1"/>
        <brk id="66" max="48" man="1"/>
        <brk id="77" max="48" man="1"/>
        <brk id="87" max="48" man="1"/>
      </colBreaks>
      <pageMargins left="0" right="0" top="0" bottom="0" header="0.31496062992125984" footer="0.31496062992125984"/>
      <printOptions horizontalCentered="1" verticalCentered="1"/>
      <pageSetup paperSize="9" scale="93" fitToWidth="9" orientation="portrait" r:id="rId1"/>
    </customSheetView>
  </customSheetViews>
  <mergeCells count="73">
    <mergeCell ref="BJ34:BJ35"/>
    <mergeCell ref="BK34:BK35"/>
    <mergeCell ref="BV12:BV13"/>
    <mergeCell ref="BC2:BK4"/>
    <mergeCell ref="BJ9:BJ10"/>
    <mergeCell ref="BK9:BK10"/>
    <mergeCell ref="BC29:BK31"/>
    <mergeCell ref="BN2:BV4"/>
    <mergeCell ref="BU12:BU13"/>
    <mergeCell ref="BG9:BG10"/>
    <mergeCell ref="CL13:CL14"/>
    <mergeCell ref="CM13:CM14"/>
    <mergeCell ref="CN13:CN14"/>
    <mergeCell ref="CO13:CO14"/>
    <mergeCell ref="T2:Z4"/>
    <mergeCell ref="AC2:AK4"/>
    <mergeCell ref="AN2:AZ4"/>
    <mergeCell ref="CP13:CP14"/>
    <mergeCell ref="BY2:CF4"/>
    <mergeCell ref="BI42:BI43"/>
    <mergeCell ref="BR12:BR13"/>
    <mergeCell ref="BS12:BS13"/>
    <mergeCell ref="BT12:BT13"/>
    <mergeCell ref="BQ28:BR28"/>
    <mergeCell ref="CI2:CP4"/>
    <mergeCell ref="CB13:CB14"/>
    <mergeCell ref="CC13:CC14"/>
    <mergeCell ref="CD13:CD14"/>
    <mergeCell ref="CE13:CE14"/>
    <mergeCell ref="CF13:CF14"/>
    <mergeCell ref="CI13:CI14"/>
    <mergeCell ref="CJ13:CJ14"/>
    <mergeCell ref="CK13:CK14"/>
    <mergeCell ref="BH42:BH43"/>
    <mergeCell ref="BH9:BH10"/>
    <mergeCell ref="BI9:BI10"/>
    <mergeCell ref="BG34:BG35"/>
    <mergeCell ref="BH34:BH35"/>
    <mergeCell ref="BI34:BI35"/>
    <mergeCell ref="AK8:AK9"/>
    <mergeCell ref="AU40:AU41"/>
    <mergeCell ref="AS40:AS41"/>
    <mergeCell ref="AQ40:AQ41"/>
    <mergeCell ref="BG42:BG43"/>
    <mergeCell ref="T25:Z27"/>
    <mergeCell ref="AQ11:AQ12"/>
    <mergeCell ref="AS11:AS12"/>
    <mergeCell ref="AU11:AU12"/>
    <mergeCell ref="AV11:AV12"/>
    <mergeCell ref="AR11:AR12"/>
    <mergeCell ref="AT11:AT12"/>
    <mergeCell ref="E6:G7"/>
    <mergeCell ref="K2:Q4"/>
    <mergeCell ref="K9:P10"/>
    <mergeCell ref="Q9:Q10"/>
    <mergeCell ref="C23:G25"/>
    <mergeCell ref="B14:H20"/>
    <mergeCell ref="AX11:AX12"/>
    <mergeCell ref="AW40:AW41"/>
    <mergeCell ref="AW11:AW12"/>
    <mergeCell ref="AJ8:AJ9"/>
    <mergeCell ref="C47:G47"/>
    <mergeCell ref="C33:G35"/>
    <mergeCell ref="C42:G42"/>
    <mergeCell ref="C44:G44"/>
    <mergeCell ref="C43:G43"/>
    <mergeCell ref="AN34:AZ36"/>
    <mergeCell ref="AI8:AI9"/>
    <mergeCell ref="Q34:Q35"/>
    <mergeCell ref="K34:P35"/>
    <mergeCell ref="AG8:AG9"/>
    <mergeCell ref="AH8:AH9"/>
    <mergeCell ref="C28:G32"/>
  </mergeCells>
  <printOptions horizontalCentered="1" verticalCentered="1"/>
  <pageMargins left="0" right="0" top="0" bottom="0" header="0.31496062992125984" footer="0.31496062992125984"/>
  <pageSetup paperSize="9" scale="93" fitToWidth="9" orientation="portrait" r:id="rId2"/>
  <colBreaks count="8" manualBreakCount="8">
    <brk id="9" max="48" man="1"/>
    <brk id="18" max="48" man="1"/>
    <brk id="27" max="48" man="1"/>
    <brk id="38" max="48" man="1"/>
    <brk id="53" max="48" man="1"/>
    <brk id="64" max="48" man="1"/>
    <brk id="75" max="48" man="1"/>
    <brk id="85" max="4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theme="6" tint="0.59999389629810485"/>
  </sheetPr>
  <dimension ref="B3:H21"/>
  <sheetViews>
    <sheetView showGridLines="0" topLeftCell="A10" workbookViewId="0">
      <selection activeCell="E18" sqref="E18:E19"/>
    </sheetView>
  </sheetViews>
  <sheetFormatPr baseColWidth="10" defaultColWidth="11.5546875" defaultRowHeight="14.4"/>
  <cols>
    <col min="2" max="2" width="6.6640625" customWidth="1"/>
    <col min="3" max="3" width="18.109375" customWidth="1"/>
    <col min="4" max="4" width="15.33203125" bestFit="1" customWidth="1"/>
    <col min="5" max="5" width="12.109375" customWidth="1"/>
    <col min="6" max="6" width="18.33203125" customWidth="1"/>
    <col min="7" max="7" width="15.5546875" customWidth="1"/>
  </cols>
  <sheetData>
    <row r="3" spans="2:8" ht="15" customHeight="1">
      <c r="B3" s="657" t="s">
        <v>321</v>
      </c>
      <c r="C3" s="658"/>
      <c r="D3" s="658"/>
      <c r="E3" s="658"/>
      <c r="F3" s="658"/>
      <c r="G3" s="659"/>
    </row>
    <row r="4" spans="2:8" ht="15" customHeight="1">
      <c r="B4" s="660"/>
      <c r="C4" s="661"/>
      <c r="D4" s="661"/>
      <c r="E4" s="661"/>
      <c r="F4" s="661"/>
      <c r="G4" s="662"/>
    </row>
    <row r="5" spans="2:8" ht="17.399999999999999">
      <c r="B5" s="33"/>
      <c r="D5" s="328"/>
      <c r="E5" s="328"/>
      <c r="F5" s="328"/>
      <c r="G5" s="329"/>
    </row>
    <row r="6" spans="2:8" ht="15.6">
      <c r="B6" s="645" t="s">
        <v>313</v>
      </c>
      <c r="C6" s="646"/>
      <c r="D6" s="646"/>
      <c r="E6" s="646"/>
      <c r="F6" s="646"/>
      <c r="G6" s="647"/>
    </row>
    <row r="7" spans="2:8" ht="15.75" customHeight="1">
      <c r="B7" s="648" t="s">
        <v>314</v>
      </c>
      <c r="C7" s="649"/>
      <c r="D7" s="649"/>
      <c r="E7" s="649"/>
      <c r="F7" s="649"/>
      <c r="G7" s="650"/>
    </row>
    <row r="8" spans="2:8" ht="15.75" customHeight="1">
      <c r="B8" s="33"/>
      <c r="G8" s="330"/>
    </row>
    <row r="9" spans="2:8">
      <c r="B9" s="651" t="s">
        <v>319</v>
      </c>
      <c r="C9" s="652"/>
      <c r="D9" s="652"/>
      <c r="E9" s="652"/>
      <c r="F9" s="652"/>
      <c r="G9" s="653"/>
    </row>
    <row r="10" spans="2:8" ht="50.25" customHeight="1">
      <c r="B10" s="654"/>
      <c r="C10" s="655"/>
      <c r="D10" s="655"/>
      <c r="E10" s="655"/>
      <c r="F10" s="655"/>
      <c r="G10" s="656"/>
    </row>
    <row r="11" spans="2:8">
      <c r="B11" s="33"/>
      <c r="G11" s="330"/>
    </row>
    <row r="12" spans="2:8" ht="21" customHeight="1">
      <c r="B12" s="526" t="s">
        <v>317</v>
      </c>
      <c r="C12" s="671" t="s">
        <v>315</v>
      </c>
      <c r="D12" s="672" t="s">
        <v>339</v>
      </c>
      <c r="E12" s="672" t="s">
        <v>340</v>
      </c>
      <c r="F12" s="683" t="s">
        <v>323</v>
      </c>
      <c r="G12" s="672" t="s">
        <v>316</v>
      </c>
      <c r="H12" s="317"/>
    </row>
    <row r="13" spans="2:8" ht="21" customHeight="1">
      <c r="B13" s="526"/>
      <c r="C13" s="671"/>
      <c r="D13" s="671"/>
      <c r="E13" s="671"/>
      <c r="F13" s="684"/>
      <c r="G13" s="671"/>
      <c r="H13" s="317"/>
    </row>
    <row r="14" spans="2:8" ht="21" customHeight="1">
      <c r="B14" s="673">
        <v>1</v>
      </c>
      <c r="C14" s="516" t="s">
        <v>318</v>
      </c>
      <c r="D14" s="674">
        <f>'Données à saisir'!B29</f>
        <v>1300</v>
      </c>
      <c r="E14" s="675">
        <v>5</v>
      </c>
      <c r="F14" s="685">
        <v>0.05</v>
      </c>
      <c r="G14" s="676">
        <f>D14/E14</f>
        <v>260</v>
      </c>
    </row>
    <row r="15" spans="2:8" ht="21" customHeight="1">
      <c r="B15" s="673"/>
      <c r="C15" s="516"/>
      <c r="D15" s="674"/>
      <c r="E15" s="675"/>
      <c r="F15" s="686"/>
      <c r="G15" s="676"/>
    </row>
    <row r="16" spans="2:8" ht="21" customHeight="1">
      <c r="B16" s="677">
        <v>2</v>
      </c>
      <c r="C16" s="516" t="s">
        <v>418</v>
      </c>
      <c r="D16" s="674">
        <f>'Données à saisir'!B30</f>
        <v>100000</v>
      </c>
      <c r="E16" s="675">
        <v>5</v>
      </c>
      <c r="F16" s="685">
        <v>0.1</v>
      </c>
      <c r="G16" s="676">
        <f>D16/E16</f>
        <v>20000</v>
      </c>
    </row>
    <row r="17" spans="2:7" ht="21" customHeight="1">
      <c r="B17" s="677"/>
      <c r="C17" s="516"/>
      <c r="D17" s="674"/>
      <c r="E17" s="675"/>
      <c r="F17" s="686"/>
      <c r="G17" s="676"/>
    </row>
    <row r="18" spans="2:7" ht="21" customHeight="1">
      <c r="B18" s="678">
        <v>3</v>
      </c>
      <c r="C18" s="529" t="s">
        <v>595</v>
      </c>
      <c r="D18" s="674">
        <f>'Données à saisir'!B31</f>
        <v>25000</v>
      </c>
      <c r="E18" s="675">
        <v>5</v>
      </c>
      <c r="F18" s="687">
        <v>0.2</v>
      </c>
      <c r="G18" s="676">
        <f>D18/E18</f>
        <v>5000</v>
      </c>
    </row>
    <row r="19" spans="2:7" ht="21" customHeight="1">
      <c r="B19" s="679"/>
      <c r="C19" s="516"/>
      <c r="D19" s="674"/>
      <c r="E19" s="675"/>
      <c r="F19" s="687"/>
      <c r="G19" s="676"/>
    </row>
    <row r="20" spans="2:7" ht="15" customHeight="1">
      <c r="B20" s="680"/>
      <c r="C20" s="681" t="s">
        <v>338</v>
      </c>
      <c r="D20" s="667">
        <f>SUM(D14:D19)</f>
        <v>126300</v>
      </c>
      <c r="E20" s="668"/>
      <c r="F20" s="663">
        <f>SUM(G14:G19)</f>
        <v>25260</v>
      </c>
      <c r="G20" s="664"/>
    </row>
    <row r="21" spans="2:7" ht="38.25" customHeight="1">
      <c r="B21" s="680"/>
      <c r="C21" s="682"/>
      <c r="D21" s="669"/>
      <c r="E21" s="670"/>
      <c r="F21" s="665"/>
      <c r="G21" s="666"/>
    </row>
  </sheetData>
  <mergeCells count="32">
    <mergeCell ref="G18:G19"/>
    <mergeCell ref="E18:E19"/>
    <mergeCell ref="F12:F13"/>
    <mergeCell ref="F14:F15"/>
    <mergeCell ref="F16:F17"/>
    <mergeCell ref="F18:F19"/>
    <mergeCell ref="B18:B19"/>
    <mergeCell ref="B20:B21"/>
    <mergeCell ref="C20:C21"/>
    <mergeCell ref="C18:C19"/>
    <mergeCell ref="D18:D19"/>
    <mergeCell ref="B16:B17"/>
    <mergeCell ref="C16:C17"/>
    <mergeCell ref="D16:D17"/>
    <mergeCell ref="E16:E17"/>
    <mergeCell ref="G16:G17"/>
    <mergeCell ref="B6:G6"/>
    <mergeCell ref="B7:G7"/>
    <mergeCell ref="B9:G10"/>
    <mergeCell ref="B3:G4"/>
    <mergeCell ref="F20:G21"/>
    <mergeCell ref="D20:E21"/>
    <mergeCell ref="C12:C13"/>
    <mergeCell ref="D12:D13"/>
    <mergeCell ref="E12:E13"/>
    <mergeCell ref="G12:G13"/>
    <mergeCell ref="B12:B13"/>
    <mergeCell ref="B14:B15"/>
    <mergeCell ref="C14:C15"/>
    <mergeCell ref="D14:D15"/>
    <mergeCell ref="E14:E15"/>
    <mergeCell ref="G14:G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00B0F0"/>
  </sheetPr>
  <dimension ref="B2:G19"/>
  <sheetViews>
    <sheetView showGridLines="0" workbookViewId="0">
      <selection activeCell="B8" sqref="B8:G9"/>
    </sheetView>
  </sheetViews>
  <sheetFormatPr baseColWidth="10" defaultColWidth="11.5546875" defaultRowHeight="14.4"/>
  <cols>
    <col min="2" max="2" width="28.5546875" customWidth="1"/>
    <col min="3" max="3" width="11.88671875" customWidth="1"/>
    <col min="4" max="4" width="11.109375" customWidth="1"/>
    <col min="5" max="5" width="12" customWidth="1"/>
    <col min="6" max="6" width="11.33203125" customWidth="1"/>
    <col min="7" max="7" width="10.6640625" customWidth="1"/>
  </cols>
  <sheetData>
    <row r="2" spans="2:7">
      <c r="B2" s="657" t="s">
        <v>333</v>
      </c>
      <c r="C2" s="658"/>
      <c r="D2" s="658"/>
      <c r="E2" s="658"/>
      <c r="F2" s="658"/>
      <c r="G2" s="659"/>
    </row>
    <row r="3" spans="2:7">
      <c r="B3" s="660"/>
      <c r="C3" s="661"/>
      <c r="D3" s="661"/>
      <c r="E3" s="661"/>
      <c r="F3" s="661"/>
      <c r="G3" s="662"/>
    </row>
    <row r="4" spans="2:7">
      <c r="B4" s="33"/>
      <c r="G4" s="330"/>
    </row>
    <row r="5" spans="2:7" ht="15.75" customHeight="1">
      <c r="B5" s="698" t="s">
        <v>329</v>
      </c>
      <c r="C5" s="699"/>
      <c r="D5" s="699"/>
      <c r="E5" s="699"/>
      <c r="F5" s="699"/>
      <c r="G5" s="700"/>
    </row>
    <row r="6" spans="2:7" ht="15.75" customHeight="1">
      <c r="B6" s="698"/>
      <c r="C6" s="699"/>
      <c r="D6" s="699"/>
      <c r="E6" s="699"/>
      <c r="F6" s="699"/>
      <c r="G6" s="700"/>
    </row>
    <row r="7" spans="2:7" ht="15.6">
      <c r="B7" s="342"/>
      <c r="C7" s="341"/>
      <c r="D7" s="341"/>
      <c r="E7" s="341"/>
      <c r="F7" s="341"/>
      <c r="G7" s="330"/>
    </row>
    <row r="8" spans="2:7" ht="15" customHeight="1">
      <c r="B8" s="692" t="s">
        <v>328</v>
      </c>
      <c r="C8" s="693"/>
      <c r="D8" s="693"/>
      <c r="E8" s="693"/>
      <c r="F8" s="693"/>
      <c r="G8" s="694"/>
    </row>
    <row r="9" spans="2:7" ht="70.5" customHeight="1">
      <c r="B9" s="695"/>
      <c r="C9" s="696"/>
      <c r="D9" s="696"/>
      <c r="E9" s="696"/>
      <c r="F9" s="696"/>
      <c r="G9" s="697"/>
    </row>
    <row r="10" spans="2:7">
      <c r="B10" s="33"/>
      <c r="G10" s="330"/>
    </row>
    <row r="11" spans="2:7" ht="31.5" customHeight="1">
      <c r="B11" s="688" t="s">
        <v>258</v>
      </c>
      <c r="C11" s="689"/>
      <c r="G11" s="330"/>
    </row>
    <row r="12" spans="2:7" ht="43.5" customHeight="1">
      <c r="B12" s="355" t="s">
        <v>324</v>
      </c>
      <c r="C12" s="690">
        <v>10.33</v>
      </c>
      <c r="D12" s="690"/>
      <c r="G12" s="330"/>
    </row>
    <row r="13" spans="2:7" ht="40.5" customHeight="1">
      <c r="B13" s="355" t="s">
        <v>325</v>
      </c>
      <c r="C13" s="677">
        <v>20</v>
      </c>
      <c r="D13" s="677"/>
      <c r="G13" s="330"/>
    </row>
    <row r="14" spans="2:7" ht="38.25" customHeight="1">
      <c r="B14" s="355" t="s">
        <v>326</v>
      </c>
      <c r="C14" s="691">
        <f>C12*C13</f>
        <v>206.6</v>
      </c>
      <c r="D14" s="691"/>
      <c r="G14" s="330"/>
    </row>
    <row r="15" spans="2:7">
      <c r="B15" s="33"/>
      <c r="G15" s="330"/>
    </row>
    <row r="16" spans="2:7" ht="15" thickBot="1">
      <c r="B16" s="33"/>
      <c r="G16" s="330"/>
    </row>
    <row r="17" spans="2:7" ht="41.25" customHeight="1" thickBot="1">
      <c r="B17" s="348" t="s">
        <v>270</v>
      </c>
      <c r="C17" s="349" t="s">
        <v>271</v>
      </c>
      <c r="D17" s="349" t="s">
        <v>272</v>
      </c>
      <c r="E17" s="349" t="s">
        <v>273</v>
      </c>
      <c r="F17" s="349" t="s">
        <v>274</v>
      </c>
      <c r="G17" s="350" t="s">
        <v>275</v>
      </c>
    </row>
    <row r="18" spans="2:7" ht="39" customHeight="1" thickBot="1">
      <c r="B18" s="351" t="s">
        <v>327</v>
      </c>
      <c r="C18" s="352">
        <v>330</v>
      </c>
      <c r="D18" s="352">
        <v>462</v>
      </c>
      <c r="E18" s="352">
        <v>660</v>
      </c>
      <c r="F18" s="352">
        <v>725.82</v>
      </c>
      <c r="G18" s="353">
        <v>803.25</v>
      </c>
    </row>
    <row r="19" spans="2:7" ht="42" customHeight="1">
      <c r="B19" s="354" t="s">
        <v>336</v>
      </c>
      <c r="C19" s="356">
        <f>C14*C18</f>
        <v>68178</v>
      </c>
      <c r="D19" s="356">
        <f>D18*C14</f>
        <v>95449.2</v>
      </c>
      <c r="E19" s="356">
        <f>C14*E18</f>
        <v>136356</v>
      </c>
      <c r="F19" s="356">
        <f>C14*F18</f>
        <v>149954.41200000001</v>
      </c>
      <c r="G19" s="357">
        <f>C14*G18</f>
        <v>165951.44999999998</v>
      </c>
    </row>
  </sheetData>
  <customSheetViews>
    <customSheetView guid="{B839855F-4AE2-4622-A0C0-EA9798C0F78E}">
      <selection activeCell="B10" sqref="B10"/>
      <pageMargins left="0.7" right="0.7" top="0.75" bottom="0.75" header="0.3" footer="0.3"/>
    </customSheetView>
  </customSheetViews>
  <mergeCells count="7">
    <mergeCell ref="B11:C11"/>
    <mergeCell ref="C12:D12"/>
    <mergeCell ref="C13:D13"/>
    <mergeCell ref="C14:D14"/>
    <mergeCell ref="B2:G3"/>
    <mergeCell ref="B8:G9"/>
    <mergeCell ref="B5:G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FFC000"/>
  </sheetPr>
  <dimension ref="B1:G24"/>
  <sheetViews>
    <sheetView showGridLines="0" topLeftCell="A12" workbookViewId="0">
      <selection activeCell="C18" sqref="C18:G18"/>
    </sheetView>
  </sheetViews>
  <sheetFormatPr baseColWidth="10" defaultColWidth="11.5546875" defaultRowHeight="14.4"/>
  <cols>
    <col min="2" max="2" width="33" customWidth="1"/>
    <col min="3" max="3" width="10.109375" customWidth="1"/>
    <col min="4" max="4" width="10.33203125" bestFit="1" customWidth="1"/>
    <col min="5" max="7" width="10.5546875" bestFit="1" customWidth="1"/>
  </cols>
  <sheetData>
    <row r="1" spans="2:7" ht="45.75" customHeight="1">
      <c r="B1" s="715" t="s">
        <v>332</v>
      </c>
      <c r="C1" s="716"/>
      <c r="D1" s="716"/>
      <c r="E1" s="716"/>
      <c r="F1" s="716"/>
      <c r="G1" s="717"/>
    </row>
    <row r="2" spans="2:7" ht="21">
      <c r="B2" s="362"/>
      <c r="G2" s="330"/>
    </row>
    <row r="3" spans="2:7" ht="21" customHeight="1">
      <c r="B3" s="703" t="s">
        <v>337</v>
      </c>
      <c r="C3" s="704"/>
      <c r="D3" s="704"/>
      <c r="E3" s="704"/>
      <c r="F3" s="704"/>
      <c r="G3" s="705"/>
    </row>
    <row r="4" spans="2:7" ht="21" customHeight="1">
      <c r="B4" s="706"/>
      <c r="C4" s="707"/>
      <c r="D4" s="707"/>
      <c r="E4" s="707"/>
      <c r="F4" s="707"/>
      <c r="G4" s="708"/>
    </row>
    <row r="5" spans="2:7" ht="12" customHeight="1">
      <c r="B5" s="363"/>
      <c r="C5" s="361"/>
      <c r="D5" s="361"/>
      <c r="E5" s="361"/>
      <c r="F5" s="361"/>
      <c r="G5" s="364"/>
    </row>
    <row r="6" spans="2:7" ht="21" customHeight="1">
      <c r="B6" s="709" t="s">
        <v>409</v>
      </c>
      <c r="C6" s="710"/>
      <c r="D6" s="710"/>
      <c r="E6" s="710"/>
      <c r="F6" s="710"/>
      <c r="G6" s="711"/>
    </row>
    <row r="7" spans="2:7" ht="61.5" customHeight="1">
      <c r="B7" s="712"/>
      <c r="C7" s="713"/>
      <c r="D7" s="713"/>
      <c r="E7" s="713"/>
      <c r="F7" s="713"/>
      <c r="G7" s="714"/>
    </row>
    <row r="8" spans="2:7">
      <c r="B8" s="33"/>
      <c r="G8" s="330"/>
    </row>
    <row r="9" spans="2:7" ht="18">
      <c r="B9" s="365" t="s">
        <v>331</v>
      </c>
      <c r="G9" s="330"/>
    </row>
    <row r="10" spans="2:7" ht="18">
      <c r="B10" s="360" t="s">
        <v>259</v>
      </c>
      <c r="C10" s="718">
        <v>8.32</v>
      </c>
      <c r="D10" s="718"/>
      <c r="G10" s="330"/>
    </row>
    <row r="11" spans="2:7" ht="18">
      <c r="B11" s="360" t="s">
        <v>334</v>
      </c>
      <c r="C11" s="719">
        <v>20</v>
      </c>
      <c r="D11" s="719"/>
      <c r="G11" s="330"/>
    </row>
    <row r="12" spans="2:7" ht="18">
      <c r="B12" s="360" t="s">
        <v>260</v>
      </c>
      <c r="C12" s="701">
        <f>C10*C11</f>
        <v>166.4</v>
      </c>
      <c r="D12" s="702"/>
      <c r="G12" s="330"/>
    </row>
    <row r="13" spans="2:7" ht="18">
      <c r="B13" s="366"/>
      <c r="G13" s="330"/>
    </row>
    <row r="14" spans="2:7">
      <c r="B14" s="33"/>
      <c r="G14" s="330"/>
    </row>
    <row r="15" spans="2:7" ht="15" thickBot="1">
      <c r="B15" s="33"/>
      <c r="G15" s="330"/>
    </row>
    <row r="16" spans="2:7" ht="16.2" thickBot="1">
      <c r="B16" s="348" t="s">
        <v>270</v>
      </c>
      <c r="C16" s="349" t="s">
        <v>271</v>
      </c>
      <c r="D16" s="349" t="s">
        <v>272</v>
      </c>
      <c r="E16" s="349" t="s">
        <v>273</v>
      </c>
      <c r="F16" s="349" t="s">
        <v>274</v>
      </c>
      <c r="G16" s="350" t="s">
        <v>275</v>
      </c>
    </row>
    <row r="17" spans="2:7" ht="27" customHeight="1" thickBot="1">
      <c r="B17" s="351" t="s">
        <v>330</v>
      </c>
      <c r="C17" s="352">
        <v>330</v>
      </c>
      <c r="D17" s="352">
        <v>462</v>
      </c>
      <c r="E17" s="352">
        <v>660</v>
      </c>
      <c r="F17" s="352">
        <v>726</v>
      </c>
      <c r="G17" s="353">
        <v>798.6</v>
      </c>
    </row>
    <row r="18" spans="2:7" ht="35.25" customHeight="1">
      <c r="B18" s="354" t="s">
        <v>335</v>
      </c>
      <c r="C18" s="358">
        <f>'Plan financier à imprimer'!AG11/18</f>
        <v>78613.333333333328</v>
      </c>
      <c r="D18" s="358">
        <f>'Plan financier à imprimer'!AH11/18</f>
        <v>86474.666666666672</v>
      </c>
      <c r="E18" s="358">
        <f>'Plan financier à imprimer'!AI11/18</f>
        <v>95122.133333333331</v>
      </c>
      <c r="F18" s="358">
        <f>'Plan financier à imprimer'!AJ11/18</f>
        <v>104634.34666666666</v>
      </c>
      <c r="G18" s="358">
        <f>'Plan financier à imprimer'!AK11/18</f>
        <v>115097.78133333333</v>
      </c>
    </row>
    <row r="21" spans="2:7" ht="15.6">
      <c r="D21" s="17"/>
    </row>
    <row r="22" spans="2:7" ht="15.6">
      <c r="D22" s="17"/>
    </row>
    <row r="23" spans="2:7" ht="15.6">
      <c r="D23" s="17"/>
    </row>
    <row r="24" spans="2:7" ht="15.6">
      <c r="D24" s="17"/>
    </row>
  </sheetData>
  <customSheetViews>
    <customSheetView guid="{B839855F-4AE2-4622-A0C0-EA9798C0F78E}">
      <selection activeCell="A10" sqref="A10"/>
      <pageMargins left="0.7" right="0.7" top="0.75" bottom="0.75" header="0.3" footer="0.3"/>
    </customSheetView>
  </customSheetViews>
  <mergeCells count="6">
    <mergeCell ref="C12:D12"/>
    <mergeCell ref="B3:G4"/>
    <mergeCell ref="B6:G7"/>
    <mergeCell ref="B1:G1"/>
    <mergeCell ref="C10:D10"/>
    <mergeCell ref="C11:D1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00B050"/>
  </sheetPr>
  <dimension ref="B1:K29"/>
  <sheetViews>
    <sheetView showGridLines="0" topLeftCell="A15" workbookViewId="0">
      <selection activeCell="G25" sqref="G25"/>
    </sheetView>
  </sheetViews>
  <sheetFormatPr baseColWidth="10" defaultColWidth="11.5546875" defaultRowHeight="14.4"/>
  <cols>
    <col min="2" max="2" width="20.5546875" customWidth="1"/>
    <col min="3" max="3" width="7.109375" customWidth="1"/>
    <col min="4" max="4" width="6.6640625" customWidth="1"/>
    <col min="5" max="5" width="8.6640625" customWidth="1"/>
    <col min="6" max="6" width="7.88671875" customWidth="1"/>
    <col min="7" max="8" width="6.88671875" customWidth="1"/>
    <col min="9" max="9" width="7.5546875" customWidth="1"/>
    <col min="10" max="10" width="7" customWidth="1"/>
    <col min="11" max="11" width="7" bestFit="1" customWidth="1"/>
  </cols>
  <sheetData>
    <row r="1" spans="2:11" ht="15" customHeight="1">
      <c r="B1" s="732" t="s">
        <v>366</v>
      </c>
      <c r="C1" s="732"/>
      <c r="D1" s="732"/>
      <c r="E1" s="732"/>
      <c r="F1" s="732"/>
      <c r="G1" s="732"/>
      <c r="H1" s="732"/>
      <c r="I1" s="732"/>
      <c r="J1" s="732"/>
      <c r="K1" s="732"/>
    </row>
    <row r="2" spans="2:11" ht="15" customHeight="1">
      <c r="B2" s="732"/>
      <c r="C2" s="732"/>
      <c r="D2" s="732"/>
      <c r="E2" s="732"/>
      <c r="F2" s="732"/>
      <c r="G2" s="732"/>
      <c r="H2" s="732"/>
      <c r="I2" s="732"/>
      <c r="J2" s="732"/>
      <c r="K2" s="732"/>
    </row>
    <row r="4" spans="2:11" ht="15" customHeight="1">
      <c r="B4" s="733" t="s">
        <v>375</v>
      </c>
      <c r="C4" s="733"/>
      <c r="D4" s="733"/>
      <c r="E4" s="733"/>
      <c r="F4" s="733"/>
      <c r="G4" s="733"/>
      <c r="H4" s="733"/>
      <c r="I4" s="733"/>
      <c r="J4" s="733"/>
      <c r="K4" s="733"/>
    </row>
    <row r="5" spans="2:11" ht="15" customHeight="1">
      <c r="B5" s="734"/>
      <c r="C5" s="734"/>
      <c r="D5" s="734"/>
      <c r="E5" s="734"/>
      <c r="F5" s="734"/>
      <c r="G5" s="734"/>
      <c r="H5" s="734"/>
      <c r="I5" s="734"/>
      <c r="J5" s="734"/>
      <c r="K5" s="734"/>
    </row>
    <row r="6" spans="2:11" ht="15" customHeight="1">
      <c r="B6" s="734"/>
      <c r="C6" s="734"/>
      <c r="D6" s="734"/>
      <c r="E6" s="734"/>
      <c r="F6" s="734"/>
      <c r="G6" s="734"/>
      <c r="H6" s="734"/>
      <c r="I6" s="734"/>
      <c r="J6" s="734"/>
      <c r="K6" s="734"/>
    </row>
    <row r="7" spans="2:11" ht="14.25" customHeight="1">
      <c r="B7" s="361"/>
      <c r="C7" s="361"/>
      <c r="D7" s="361"/>
      <c r="E7" s="361"/>
      <c r="F7" s="361"/>
      <c r="G7" s="361"/>
    </row>
    <row r="8" spans="2:11" ht="15" customHeight="1">
      <c r="B8" s="709" t="s">
        <v>374</v>
      </c>
      <c r="C8" s="724"/>
      <c r="D8" s="724"/>
      <c r="E8" s="724"/>
      <c r="F8" s="724"/>
      <c r="G8" s="724"/>
      <c r="H8" s="724"/>
      <c r="I8" s="724"/>
      <c r="J8" s="724"/>
      <c r="K8" s="725"/>
    </row>
    <row r="9" spans="2:11" ht="15" customHeight="1">
      <c r="B9" s="726"/>
      <c r="C9" s="727"/>
      <c r="D9" s="727"/>
      <c r="E9" s="727"/>
      <c r="F9" s="727"/>
      <c r="G9" s="727"/>
      <c r="H9" s="727"/>
      <c r="I9" s="727"/>
      <c r="J9" s="727"/>
      <c r="K9" s="728"/>
    </row>
    <row r="10" spans="2:11" ht="54.75" customHeight="1">
      <c r="B10" s="729"/>
      <c r="C10" s="730"/>
      <c r="D10" s="730"/>
      <c r="E10" s="730"/>
      <c r="F10" s="730"/>
      <c r="G10" s="730"/>
      <c r="H10" s="730"/>
      <c r="I10" s="730"/>
      <c r="J10" s="730"/>
      <c r="K10" s="731"/>
    </row>
    <row r="12" spans="2:11" ht="15.6">
      <c r="B12" s="723" t="s">
        <v>368</v>
      </c>
      <c r="C12" s="723"/>
      <c r="D12" s="723"/>
      <c r="E12" s="723"/>
      <c r="F12" s="722">
        <v>0.1</v>
      </c>
      <c r="G12" s="722"/>
    </row>
    <row r="14" spans="2:11" ht="15.6">
      <c r="B14" s="720" t="s">
        <v>261</v>
      </c>
      <c r="C14" s="721"/>
      <c r="D14" s="721"/>
      <c r="E14" s="721"/>
      <c r="F14" s="721"/>
      <c r="G14" s="721"/>
      <c r="H14" s="721"/>
      <c r="I14" s="721"/>
      <c r="J14" s="721"/>
      <c r="K14" s="721"/>
    </row>
    <row r="15" spans="2:11" ht="43.5" customHeight="1">
      <c r="B15" s="325" t="s">
        <v>360</v>
      </c>
      <c r="C15" s="326" t="s">
        <v>354</v>
      </c>
      <c r="D15" s="377" t="s">
        <v>369</v>
      </c>
      <c r="E15" s="377" t="s">
        <v>367</v>
      </c>
      <c r="F15" s="377" t="s">
        <v>357</v>
      </c>
      <c r="G15" s="326" t="s">
        <v>361</v>
      </c>
      <c r="H15" s="326" t="s">
        <v>362</v>
      </c>
      <c r="I15" s="326" t="s">
        <v>363</v>
      </c>
      <c r="J15" s="326" t="s">
        <v>364</v>
      </c>
      <c r="K15" s="326" t="s">
        <v>365</v>
      </c>
    </row>
    <row r="16" spans="2:11" ht="36" customHeight="1">
      <c r="B16" s="326" t="s">
        <v>262</v>
      </c>
      <c r="C16" s="378">
        <v>1</v>
      </c>
      <c r="D16" s="379" t="s">
        <v>355</v>
      </c>
      <c r="E16" s="378">
        <v>480</v>
      </c>
      <c r="F16" s="326">
        <v>480</v>
      </c>
      <c r="G16" s="326">
        <f>F16</f>
        <v>480</v>
      </c>
      <c r="H16" s="327"/>
      <c r="I16" s="380"/>
      <c r="J16" s="380"/>
      <c r="K16" s="380"/>
    </row>
    <row r="17" spans="2:11" ht="19.5" customHeight="1">
      <c r="B17" s="326" t="s">
        <v>263</v>
      </c>
      <c r="C17" s="378">
        <v>1</v>
      </c>
      <c r="D17" s="379" t="s">
        <v>355</v>
      </c>
      <c r="E17" s="378">
        <v>340</v>
      </c>
      <c r="F17" s="326">
        <v>340</v>
      </c>
      <c r="G17" s="326">
        <f>F17</f>
        <v>340</v>
      </c>
      <c r="H17" s="327"/>
      <c r="I17" s="380"/>
      <c r="J17" s="380"/>
      <c r="K17" s="380"/>
    </row>
    <row r="18" spans="2:11" ht="21.75" customHeight="1">
      <c r="B18" s="326" t="s">
        <v>264</v>
      </c>
      <c r="C18" s="378">
        <v>1</v>
      </c>
      <c r="D18" s="379" t="s">
        <v>355</v>
      </c>
      <c r="E18" s="378">
        <v>324</v>
      </c>
      <c r="F18" s="326">
        <v>324</v>
      </c>
      <c r="G18" s="327">
        <v>324</v>
      </c>
      <c r="H18" s="327"/>
      <c r="I18" s="380"/>
      <c r="J18" s="380"/>
      <c r="K18" s="380"/>
    </row>
    <row r="19" spans="2:11" ht="39.75" customHeight="1">
      <c r="B19" s="381" t="s">
        <v>264</v>
      </c>
      <c r="C19" s="378">
        <v>1</v>
      </c>
      <c r="D19" s="393" t="s">
        <v>372</v>
      </c>
      <c r="E19" s="381">
        <v>324</v>
      </c>
      <c r="F19" s="381">
        <v>150</v>
      </c>
      <c r="G19" s="381">
        <f>F19</f>
        <v>150</v>
      </c>
      <c r="H19" s="382"/>
      <c r="I19" s="383"/>
      <c r="J19" s="383"/>
      <c r="K19" s="383"/>
    </row>
    <row r="20" spans="2:11" ht="21.75" customHeight="1">
      <c r="B20" s="326" t="s">
        <v>358</v>
      </c>
      <c r="C20" s="378">
        <v>1</v>
      </c>
      <c r="D20" s="384" t="s">
        <v>359</v>
      </c>
      <c r="E20" s="378">
        <v>174</v>
      </c>
      <c r="F20" s="326">
        <v>174</v>
      </c>
      <c r="G20" s="326">
        <v>174</v>
      </c>
      <c r="H20" s="327"/>
      <c r="I20" s="380"/>
      <c r="J20" s="380"/>
      <c r="K20" s="380"/>
    </row>
    <row r="21" spans="2:11" ht="18.75" customHeight="1">
      <c r="B21" s="326" t="s">
        <v>265</v>
      </c>
      <c r="C21" s="378">
        <v>2</v>
      </c>
      <c r="D21" s="379" t="s">
        <v>355</v>
      </c>
      <c r="E21" s="378">
        <v>324</v>
      </c>
      <c r="F21" s="326">
        <v>324</v>
      </c>
      <c r="G21" s="326">
        <f t="shared" ref="G21:G23" si="0">C21*E21</f>
        <v>648</v>
      </c>
      <c r="H21" s="327"/>
      <c r="I21" s="380"/>
      <c r="J21" s="380"/>
      <c r="K21" s="380"/>
    </row>
    <row r="22" spans="2:11" ht="18" customHeight="1">
      <c r="B22" s="326" t="s">
        <v>266</v>
      </c>
      <c r="C22" s="378">
        <v>1</v>
      </c>
      <c r="D22" s="385" t="s">
        <v>356</v>
      </c>
      <c r="E22" s="378">
        <v>362.4</v>
      </c>
      <c r="F22" s="326">
        <v>362.4</v>
      </c>
      <c r="G22" s="326">
        <f t="shared" si="0"/>
        <v>362.4</v>
      </c>
      <c r="H22" s="327"/>
      <c r="I22" s="380"/>
      <c r="J22" s="380"/>
      <c r="K22" s="380"/>
    </row>
    <row r="23" spans="2:11" ht="17.25" customHeight="1">
      <c r="B23" s="326" t="s">
        <v>267</v>
      </c>
      <c r="C23" s="378">
        <v>1</v>
      </c>
      <c r="D23" s="379" t="s">
        <v>355</v>
      </c>
      <c r="E23" s="378">
        <v>310.39999999999998</v>
      </c>
      <c r="F23" s="326">
        <v>310.39999999999998</v>
      </c>
      <c r="G23" s="326">
        <f t="shared" si="0"/>
        <v>310.39999999999998</v>
      </c>
      <c r="H23" s="327"/>
      <c r="I23" s="380"/>
      <c r="J23" s="380"/>
      <c r="K23" s="380"/>
    </row>
    <row r="24" spans="2:11" ht="46.5" customHeight="1">
      <c r="B24" s="392" t="s">
        <v>373</v>
      </c>
      <c r="C24" s="386">
        <v>8</v>
      </c>
      <c r="D24" s="386"/>
      <c r="E24" s="386">
        <f>1300*12</f>
        <v>15600</v>
      </c>
      <c r="F24" s="386">
        <f>D24*1.5</f>
        <v>0</v>
      </c>
      <c r="G24" s="386">
        <v>222184</v>
      </c>
      <c r="H24" s="387">
        <f>G24*1.15</f>
        <v>255511.59999999998</v>
      </c>
      <c r="I24" s="388">
        <f>H24*1.1</f>
        <v>281062.76</v>
      </c>
      <c r="J24" s="388">
        <f>I24*1.1</f>
        <v>309169.03600000002</v>
      </c>
      <c r="K24" s="388">
        <f>J24*1.1</f>
        <v>340085.93960000004</v>
      </c>
    </row>
    <row r="25" spans="2:11" ht="20.25" customHeight="1">
      <c r="B25" s="389" t="s">
        <v>370</v>
      </c>
      <c r="C25" s="389">
        <v>8</v>
      </c>
      <c r="D25" s="389"/>
      <c r="E25" s="389"/>
      <c r="F25" s="389"/>
      <c r="G25" s="389">
        <f>G24*0.38</f>
        <v>84429.92</v>
      </c>
      <c r="H25" s="390">
        <f>H24*0.38</f>
        <v>97094.407999999996</v>
      </c>
      <c r="I25" s="391">
        <f>I24*0.38</f>
        <v>106803.84880000001</v>
      </c>
      <c r="J25" s="391">
        <f>J24*0.38</f>
        <v>117484.23368</v>
      </c>
      <c r="K25" s="391">
        <f>K24*0.38</f>
        <v>129232.65704800002</v>
      </c>
    </row>
    <row r="26" spans="2:11" ht="26.25" customHeight="1">
      <c r="B26" s="394" t="s">
        <v>371</v>
      </c>
      <c r="C26" s="394">
        <v>8</v>
      </c>
      <c r="D26" s="394"/>
      <c r="E26" s="394"/>
      <c r="F26" s="394"/>
      <c r="G26" s="394">
        <f>G24+G25</f>
        <v>306613.92</v>
      </c>
      <c r="H26" s="395">
        <f>H24+H25</f>
        <v>352606.00799999997</v>
      </c>
      <c r="I26" s="396">
        <f>I24+I25</f>
        <v>387866.60880000005</v>
      </c>
      <c r="J26" s="396">
        <f>J24+J25</f>
        <v>426653.26968000003</v>
      </c>
      <c r="K26" s="396">
        <f>K24+K25</f>
        <v>469318.59664800006</v>
      </c>
    </row>
    <row r="28" spans="2:11">
      <c r="B28" s="1"/>
    </row>
    <row r="29" spans="2:11" ht="15.75" customHeight="1"/>
  </sheetData>
  <customSheetViews>
    <customSheetView guid="{B839855F-4AE2-4622-A0C0-EA9798C0F78E}" topLeftCell="A7">
      <selection activeCell="D20" sqref="D20"/>
      <pageMargins left="0.7" right="0.7" top="0.75" bottom="0.75" header="0.3" footer="0.3"/>
    </customSheetView>
  </customSheetViews>
  <mergeCells count="6">
    <mergeCell ref="B14:K14"/>
    <mergeCell ref="F12:G12"/>
    <mergeCell ref="B12:E12"/>
    <mergeCell ref="B8:K10"/>
    <mergeCell ref="B1:K2"/>
    <mergeCell ref="B4:K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2"/>
  </sheetPr>
  <dimension ref="A1:Q99"/>
  <sheetViews>
    <sheetView showGridLines="0" topLeftCell="A12" workbookViewId="0">
      <selection activeCell="H20" sqref="H20"/>
    </sheetView>
  </sheetViews>
  <sheetFormatPr baseColWidth="10" defaultColWidth="11.5546875" defaultRowHeight="14.4"/>
  <cols>
    <col min="2" max="2" width="9.33203125" bestFit="1" customWidth="1"/>
    <col min="3" max="3" width="9.88671875" customWidth="1"/>
    <col min="4" max="4" width="9.44140625" bestFit="1" customWidth="1"/>
    <col min="5" max="5" width="8.5546875" customWidth="1"/>
    <col min="6" max="6" width="11.33203125" customWidth="1"/>
    <col min="7" max="8" width="9.88671875" customWidth="1"/>
    <col min="9" max="9" width="19.88671875" customWidth="1"/>
  </cols>
  <sheetData>
    <row r="1" spans="1:10" ht="15" customHeight="1">
      <c r="A1" s="31"/>
      <c r="B1" s="735" t="s">
        <v>320</v>
      </c>
      <c r="C1" s="735"/>
      <c r="D1" s="735"/>
      <c r="E1" s="735"/>
      <c r="F1" s="735"/>
      <c r="G1" s="735"/>
      <c r="H1" s="735"/>
      <c r="I1" s="32"/>
      <c r="J1" s="333"/>
    </row>
    <row r="2" spans="1:10" ht="42.75" customHeight="1">
      <c r="A2" s="33"/>
      <c r="B2" s="736"/>
      <c r="C2" s="736"/>
      <c r="D2" s="736"/>
      <c r="E2" s="736"/>
      <c r="F2" s="736"/>
      <c r="G2" s="736"/>
      <c r="H2" s="736"/>
      <c r="J2" s="330"/>
    </row>
    <row r="3" spans="1:10" ht="21">
      <c r="A3" s="33"/>
      <c r="C3" s="334"/>
      <c r="D3" s="334"/>
      <c r="E3" s="334"/>
      <c r="F3" s="334"/>
      <c r="G3" s="334"/>
      <c r="J3" s="330"/>
    </row>
    <row r="4" spans="1:10" ht="21" customHeight="1">
      <c r="A4" s="33"/>
      <c r="B4" s="692" t="s">
        <v>313</v>
      </c>
      <c r="C4" s="693"/>
      <c r="D4" s="693"/>
      <c r="E4" s="693"/>
      <c r="F4" s="693"/>
      <c r="G4" s="693"/>
      <c r="H4" s="694"/>
      <c r="J4" s="330"/>
    </row>
    <row r="5" spans="1:10" ht="21" customHeight="1">
      <c r="A5" s="33"/>
      <c r="B5" s="740" t="s">
        <v>314</v>
      </c>
      <c r="C5" s="741"/>
      <c r="D5" s="741"/>
      <c r="E5" s="741"/>
      <c r="F5" s="741"/>
      <c r="G5" s="741"/>
      <c r="H5" s="742"/>
      <c r="J5" s="330"/>
    </row>
    <row r="6" spans="1:10" ht="21">
      <c r="A6" s="33"/>
      <c r="B6" s="76"/>
      <c r="C6" s="34"/>
      <c r="D6" s="34"/>
      <c r="E6" s="34"/>
      <c r="F6" s="331"/>
      <c r="G6" s="332"/>
      <c r="H6" s="331"/>
      <c r="J6" s="330"/>
    </row>
    <row r="7" spans="1:10" ht="21" customHeight="1">
      <c r="A7" s="33"/>
      <c r="B7" s="692" t="s">
        <v>322</v>
      </c>
      <c r="C7" s="693"/>
      <c r="D7" s="693"/>
      <c r="E7" s="693"/>
      <c r="F7" s="693"/>
      <c r="G7" s="693"/>
      <c r="H7" s="694"/>
      <c r="J7" s="330"/>
    </row>
    <row r="8" spans="1:10" ht="45" customHeight="1">
      <c r="A8" s="33"/>
      <c r="B8" s="695"/>
      <c r="C8" s="696"/>
      <c r="D8" s="696"/>
      <c r="E8" s="696"/>
      <c r="F8" s="696"/>
      <c r="G8" s="696"/>
      <c r="H8" s="697"/>
      <c r="J8" s="330"/>
    </row>
    <row r="9" spans="1:10" ht="21" customHeight="1">
      <c r="A9" s="33"/>
      <c r="C9" s="334"/>
      <c r="D9" s="334"/>
      <c r="E9" s="334"/>
      <c r="F9" s="334"/>
      <c r="G9" s="334"/>
      <c r="J9" s="330"/>
    </row>
    <row r="10" spans="1:10">
      <c r="A10" s="33"/>
      <c r="D10" t="s">
        <v>276</v>
      </c>
      <c r="J10" s="330"/>
    </row>
    <row r="11" spans="1:10" ht="15.75" customHeight="1">
      <c r="A11" s="33"/>
      <c r="B11" s="237"/>
      <c r="C11" s="335" t="s">
        <v>279</v>
      </c>
      <c r="D11" s="373">
        <v>19900</v>
      </c>
      <c r="G11" s="737" t="s">
        <v>278</v>
      </c>
      <c r="H11" s="738"/>
      <c r="I11" s="739"/>
      <c r="J11" s="330"/>
    </row>
    <row r="12" spans="1:10" ht="15">
      <c r="A12" s="33"/>
      <c r="B12" s="237"/>
      <c r="C12" s="335" t="s">
        <v>281</v>
      </c>
      <c r="D12" s="371">
        <v>2.5000000000000001E-2</v>
      </c>
      <c r="G12" s="237"/>
      <c r="H12" s="335" t="s">
        <v>280</v>
      </c>
      <c r="I12" s="238">
        <v>258.23</v>
      </c>
      <c r="J12" s="330"/>
    </row>
    <row r="13" spans="1:10" ht="15">
      <c r="A13" s="33"/>
      <c r="B13" s="237"/>
      <c r="C13" s="335" t="s">
        <v>283</v>
      </c>
      <c r="D13" s="372">
        <v>7</v>
      </c>
      <c r="G13" s="237"/>
      <c r="H13" s="335" t="s">
        <v>282</v>
      </c>
      <c r="I13" s="239">
        <v>72</v>
      </c>
      <c r="J13" s="330"/>
    </row>
    <row r="14" spans="1:10" ht="15">
      <c r="A14" s="33"/>
      <c r="B14" s="237"/>
      <c r="C14" s="335" t="s">
        <v>284</v>
      </c>
      <c r="D14" s="372">
        <v>12</v>
      </c>
      <c r="G14" s="237"/>
      <c r="H14" s="335" t="s">
        <v>294</v>
      </c>
      <c r="I14" s="242">
        <v>3098.81</v>
      </c>
      <c r="J14" s="330"/>
    </row>
    <row r="15" spans="1:10" ht="15">
      <c r="A15" s="33"/>
      <c r="B15" s="237"/>
      <c r="C15" s="335" t="s">
        <v>285</v>
      </c>
      <c r="D15" s="370">
        <v>44562</v>
      </c>
      <c r="G15" s="237"/>
      <c r="H15" s="335"/>
      <c r="I15" s="238"/>
      <c r="J15" s="330"/>
    </row>
    <row r="16" spans="1:10" ht="15">
      <c r="A16" s="33"/>
      <c r="G16" s="240"/>
      <c r="H16" s="241"/>
      <c r="I16" s="238"/>
      <c r="J16" s="330"/>
    </row>
    <row r="17" spans="1:17">
      <c r="A17" s="33"/>
      <c r="J17" s="330"/>
    </row>
    <row r="18" spans="1:17" ht="30.75" customHeight="1">
      <c r="A18" s="33"/>
      <c r="B18" s="367" t="s">
        <v>286</v>
      </c>
      <c r="C18" s="369" t="s">
        <v>341</v>
      </c>
      <c r="D18" s="369" t="s">
        <v>342</v>
      </c>
      <c r="E18" s="369" t="s">
        <v>343</v>
      </c>
      <c r="F18" s="369" t="s">
        <v>344</v>
      </c>
      <c r="G18" s="369" t="s">
        <v>345</v>
      </c>
      <c r="H18" s="369" t="s">
        <v>346</v>
      </c>
      <c r="I18" s="367" t="s">
        <v>287</v>
      </c>
      <c r="J18" s="368" t="s">
        <v>292</v>
      </c>
    </row>
    <row r="19" spans="1:17">
      <c r="A19" s="33"/>
      <c r="B19" s="336">
        <v>1</v>
      </c>
      <c r="C19" s="337">
        <v>258.23417945913889</v>
      </c>
      <c r="D19" s="337">
        <v>217.24343768926835</v>
      </c>
      <c r="E19" s="337">
        <v>40.990741769870539</v>
      </c>
      <c r="F19" s="337">
        <v>19682.756562310733</v>
      </c>
      <c r="G19" s="337">
        <v>0</v>
      </c>
      <c r="H19" s="337">
        <v>4142.1899999999996</v>
      </c>
      <c r="J19" s="330"/>
      <c r="K19" s="468">
        <v>1</v>
      </c>
      <c r="L19" s="467">
        <v>478.33</v>
      </c>
      <c r="M19" s="468" t="s">
        <v>460</v>
      </c>
      <c r="N19" s="468" t="s">
        <v>461</v>
      </c>
      <c r="O19" s="467">
        <v>0</v>
      </c>
      <c r="P19" s="470" t="s">
        <v>462</v>
      </c>
    </row>
    <row r="20" spans="1:17">
      <c r="A20" s="33"/>
      <c r="B20" s="336">
        <v>2</v>
      </c>
      <c r="C20" s="337">
        <v>258.23417945913889</v>
      </c>
      <c r="D20" s="337">
        <v>217.69092360160602</v>
      </c>
      <c r="E20" s="337">
        <v>40.54325585753287</v>
      </c>
      <c r="F20" s="337">
        <v>19465.065638709126</v>
      </c>
      <c r="G20" s="337">
        <v>0</v>
      </c>
      <c r="H20" s="337">
        <v>1251.01</v>
      </c>
      <c r="J20" s="330"/>
      <c r="K20" s="468">
        <v>2</v>
      </c>
      <c r="L20" s="467">
        <v>473.4</v>
      </c>
      <c r="M20" s="468" t="s">
        <v>463</v>
      </c>
      <c r="N20" s="468" t="s">
        <v>464</v>
      </c>
      <c r="O20" s="467">
        <v>0</v>
      </c>
      <c r="P20" s="470" t="s">
        <v>462</v>
      </c>
    </row>
    <row r="21" spans="1:17">
      <c r="A21" s="33"/>
      <c r="B21" s="336">
        <v>3</v>
      </c>
      <c r="C21" s="337">
        <v>258.23417945913889</v>
      </c>
      <c r="D21" s="337">
        <v>218.13933126165617</v>
      </c>
      <c r="E21" s="337">
        <v>40.094848197482719</v>
      </c>
      <c r="F21" s="337">
        <v>19246.926307447469</v>
      </c>
      <c r="G21" s="337">
        <v>0</v>
      </c>
      <c r="H21" s="337">
        <v>1251.01</v>
      </c>
      <c r="J21" s="330"/>
      <c r="K21" s="468">
        <v>3</v>
      </c>
      <c r="L21" s="467">
        <v>468.46</v>
      </c>
      <c r="M21" s="468" t="s">
        <v>465</v>
      </c>
      <c r="N21" s="468" t="s">
        <v>466</v>
      </c>
      <c r="O21" s="467">
        <v>0</v>
      </c>
      <c r="P21" s="470" t="s">
        <v>462</v>
      </c>
    </row>
    <row r="22" spans="1:17">
      <c r="A22" s="33"/>
      <c r="B22" s="336">
        <v>4</v>
      </c>
      <c r="C22" s="337">
        <v>258.23417945913889</v>
      </c>
      <c r="D22" s="337">
        <v>218.58866256806817</v>
      </c>
      <c r="E22" s="337">
        <v>39.64551689107072</v>
      </c>
      <c r="F22" s="337">
        <v>19028.337644879401</v>
      </c>
      <c r="G22" s="337">
        <v>0</v>
      </c>
      <c r="H22" s="337">
        <v>1251.01</v>
      </c>
      <c r="J22" s="330"/>
      <c r="K22" s="468">
        <v>4</v>
      </c>
      <c r="L22" s="467">
        <v>463.5</v>
      </c>
      <c r="M22" s="468" t="s">
        <v>467</v>
      </c>
      <c r="N22" s="468" t="s">
        <v>468</v>
      </c>
      <c r="O22" s="467">
        <v>0</v>
      </c>
      <c r="P22" s="470" t="s">
        <v>462</v>
      </c>
    </row>
    <row r="23" spans="1:17">
      <c r="A23" s="33"/>
      <c r="B23" s="336">
        <v>5</v>
      </c>
      <c r="C23" s="337">
        <v>258.23417945913889</v>
      </c>
      <c r="D23" s="337">
        <v>219.03891942340229</v>
      </c>
      <c r="E23" s="337">
        <v>39.195260035736595</v>
      </c>
      <c r="F23" s="337">
        <v>18809.298725455999</v>
      </c>
      <c r="G23" s="337">
        <v>0</v>
      </c>
      <c r="H23" s="337">
        <v>1251.01</v>
      </c>
      <c r="J23" s="330"/>
      <c r="K23" s="468">
        <v>5</v>
      </c>
      <c r="L23" s="467">
        <v>458.52</v>
      </c>
      <c r="M23" s="468" t="s">
        <v>469</v>
      </c>
      <c r="N23" s="468" t="s">
        <v>470</v>
      </c>
      <c r="O23" s="467">
        <v>0</v>
      </c>
      <c r="P23" s="470" t="s">
        <v>462</v>
      </c>
    </row>
    <row r="24" spans="1:17">
      <c r="A24" s="33"/>
      <c r="B24" s="336">
        <v>6</v>
      </c>
      <c r="C24" s="337">
        <v>258.23417945913889</v>
      </c>
      <c r="D24" s="337">
        <v>219.49010373413779</v>
      </c>
      <c r="E24" s="337">
        <v>38.74407572500111</v>
      </c>
      <c r="F24" s="337">
        <v>18589.808621721862</v>
      </c>
      <c r="G24" s="337">
        <v>0</v>
      </c>
      <c r="H24" s="337">
        <v>1251.01</v>
      </c>
      <c r="J24" s="330"/>
      <c r="K24" s="468">
        <v>6</v>
      </c>
      <c r="L24" s="467">
        <v>453.53</v>
      </c>
      <c r="M24" s="468" t="s">
        <v>471</v>
      </c>
      <c r="N24" s="468" t="s">
        <v>472</v>
      </c>
      <c r="O24" s="467">
        <v>0</v>
      </c>
      <c r="P24" s="470" t="s">
        <v>462</v>
      </c>
    </row>
    <row r="25" spans="1:17">
      <c r="A25" s="33"/>
      <c r="B25" s="336">
        <v>7</v>
      </c>
      <c r="C25" s="337">
        <v>258.23417945913889</v>
      </c>
      <c r="D25" s="337">
        <v>219.94221741068088</v>
      </c>
      <c r="E25" s="337">
        <v>38.291962048458004</v>
      </c>
      <c r="F25" s="337">
        <v>18369.866404311178</v>
      </c>
      <c r="G25" s="337">
        <v>0</v>
      </c>
      <c r="H25" s="337">
        <v>1251.01</v>
      </c>
      <c r="J25" s="330"/>
      <c r="K25" s="468">
        <v>7</v>
      </c>
      <c r="L25" s="467">
        <v>448.52</v>
      </c>
      <c r="M25" s="468" t="s">
        <v>473</v>
      </c>
      <c r="N25" s="468" t="s">
        <v>474</v>
      </c>
      <c r="O25" s="467">
        <v>0</v>
      </c>
      <c r="P25" s="470" t="s">
        <v>462</v>
      </c>
    </row>
    <row r="26" spans="1:17">
      <c r="A26" s="33"/>
      <c r="B26" s="336">
        <v>8</v>
      </c>
      <c r="C26" s="337">
        <v>258.23417945913889</v>
      </c>
      <c r="D26" s="337">
        <v>220.39526236737308</v>
      </c>
      <c r="E26" s="337">
        <v>37.838917091765808</v>
      </c>
      <c r="F26" s="337">
        <v>18149.471141943806</v>
      </c>
      <c r="G26" s="337">
        <v>0</v>
      </c>
      <c r="H26" s="337">
        <v>1251.01</v>
      </c>
      <c r="J26" s="330"/>
      <c r="K26" s="468">
        <v>8</v>
      </c>
      <c r="L26" s="467">
        <v>443.49</v>
      </c>
      <c r="M26" s="468" t="s">
        <v>475</v>
      </c>
      <c r="N26" s="468" t="s">
        <v>476</v>
      </c>
      <c r="O26" s="467">
        <v>0</v>
      </c>
      <c r="P26" s="470" t="s">
        <v>462</v>
      </c>
    </row>
    <row r="27" spans="1:17">
      <c r="A27" s="33"/>
      <c r="B27" s="336">
        <v>9</v>
      </c>
      <c r="C27" s="337">
        <v>258.23417945913889</v>
      </c>
      <c r="D27" s="337">
        <v>220.84924052249889</v>
      </c>
      <c r="E27" s="337">
        <v>37.384938936640005</v>
      </c>
      <c r="F27" s="337">
        <v>17928.621901421309</v>
      </c>
      <c r="G27" s="337">
        <v>0</v>
      </c>
      <c r="H27" s="337">
        <v>1251.01</v>
      </c>
      <c r="J27" s="330"/>
      <c r="K27" s="468">
        <v>9</v>
      </c>
      <c r="L27" s="467">
        <v>438.45</v>
      </c>
      <c r="M27" s="468" t="s">
        <v>477</v>
      </c>
      <c r="N27" s="468" t="s">
        <v>478</v>
      </c>
      <c r="O27" s="467">
        <v>0</v>
      </c>
      <c r="P27" s="470" t="s">
        <v>462</v>
      </c>
    </row>
    <row r="28" spans="1:17">
      <c r="A28" s="33"/>
      <c r="B28" s="336">
        <v>10</v>
      </c>
      <c r="C28" s="337">
        <v>258.23417945913889</v>
      </c>
      <c r="D28" s="337">
        <v>221.30415379829435</v>
      </c>
      <c r="E28" s="337">
        <v>36.930025660844528</v>
      </c>
      <c r="F28" s="337">
        <v>17707.317747623012</v>
      </c>
      <c r="G28" s="337">
        <v>0</v>
      </c>
      <c r="H28" s="337">
        <v>1251.01</v>
      </c>
      <c r="J28" s="330"/>
      <c r="K28" s="468">
        <v>10</v>
      </c>
      <c r="L28" s="467">
        <v>433.38</v>
      </c>
      <c r="M28" s="468" t="s">
        <v>479</v>
      </c>
      <c r="N28" s="468" t="s">
        <v>480</v>
      </c>
      <c r="O28" s="467">
        <v>0</v>
      </c>
      <c r="P28" s="470" t="s">
        <v>462</v>
      </c>
    </row>
    <row r="29" spans="1:17">
      <c r="A29" s="33"/>
      <c r="B29" s="336">
        <v>11</v>
      </c>
      <c r="C29" s="337">
        <v>258.23417945913889</v>
      </c>
      <c r="D29" s="337">
        <v>221.76000412095493</v>
      </c>
      <c r="E29" s="337">
        <v>36.474175338183947</v>
      </c>
      <c r="F29" s="337">
        <v>17485.55774350206</v>
      </c>
      <c r="G29" s="337">
        <v>0</v>
      </c>
      <c r="H29" s="337">
        <v>1251.01</v>
      </c>
      <c r="J29" s="330"/>
      <c r="K29" s="468">
        <v>11</v>
      </c>
      <c r="L29" s="467">
        <v>428.3</v>
      </c>
      <c r="M29" s="468" t="s">
        <v>481</v>
      </c>
      <c r="N29" s="468" t="s">
        <v>482</v>
      </c>
      <c r="O29" s="467">
        <v>0</v>
      </c>
      <c r="P29" s="470" t="s">
        <v>462</v>
      </c>
      <c r="Q29">
        <f>SUM(P19:P29)</f>
        <v>0</v>
      </c>
    </row>
    <row r="30" spans="1:17">
      <c r="A30" s="33" t="s">
        <v>288</v>
      </c>
      <c r="B30" s="336">
        <v>12</v>
      </c>
      <c r="C30" s="337">
        <v>258.23417945913889</v>
      </c>
      <c r="D30" s="337">
        <v>222.21679342064374</v>
      </c>
      <c r="E30" s="337">
        <v>36.01738603849514</v>
      </c>
      <c r="F30" s="337">
        <v>17263.340950081416</v>
      </c>
      <c r="G30" s="337">
        <v>0</v>
      </c>
      <c r="H30" s="337">
        <v>1251.01</v>
      </c>
      <c r="I30" s="337">
        <v>49706.28</v>
      </c>
      <c r="J30" s="337">
        <v>12165.87</v>
      </c>
      <c r="K30" s="468">
        <v>12</v>
      </c>
      <c r="L30" s="467">
        <v>423.21</v>
      </c>
      <c r="M30" s="468" t="s">
        <v>483</v>
      </c>
      <c r="N30" s="468" t="s">
        <v>484</v>
      </c>
      <c r="O30" s="467">
        <v>0</v>
      </c>
      <c r="P30" s="470" t="s">
        <v>462</v>
      </c>
    </row>
    <row r="31" spans="1:17">
      <c r="A31" s="33"/>
      <c r="B31" s="336">
        <v>13</v>
      </c>
      <c r="C31" s="337">
        <v>258.23417945913889</v>
      </c>
      <c r="D31" s="337">
        <v>222.67452363149974</v>
      </c>
      <c r="E31" s="337">
        <v>35.559655827639141</v>
      </c>
      <c r="F31" s="337">
        <v>17040.666426449916</v>
      </c>
      <c r="G31" s="337">
        <v>0</v>
      </c>
      <c r="H31" s="337">
        <v>258.23417945913889</v>
      </c>
      <c r="J31" s="330"/>
      <c r="K31" s="468">
        <v>13</v>
      </c>
      <c r="L31" s="467">
        <v>418.09</v>
      </c>
      <c r="M31" s="468" t="s">
        <v>485</v>
      </c>
      <c r="N31" s="468" t="s">
        <v>486</v>
      </c>
      <c r="O31" s="467">
        <v>0</v>
      </c>
      <c r="P31" s="468" t="s">
        <v>462</v>
      </c>
    </row>
    <row r="32" spans="1:17">
      <c r="A32" s="33"/>
      <c r="B32" s="336">
        <v>14</v>
      </c>
      <c r="C32" s="337">
        <v>258.23417945913889</v>
      </c>
      <c r="D32" s="337">
        <v>223.13319669164582</v>
      </c>
      <c r="E32" s="337">
        <v>35.100982767493058</v>
      </c>
      <c r="F32" s="337">
        <v>16817.533229758268</v>
      </c>
      <c r="G32" s="337">
        <v>0</v>
      </c>
      <c r="H32" s="337">
        <v>258.23417945913889</v>
      </c>
      <c r="J32" s="330"/>
      <c r="K32" s="468">
        <v>14</v>
      </c>
      <c r="L32" s="467">
        <v>412.96</v>
      </c>
      <c r="M32" s="468" t="s">
        <v>487</v>
      </c>
      <c r="N32" s="468" t="s">
        <v>488</v>
      </c>
      <c r="O32" s="467">
        <v>0</v>
      </c>
      <c r="P32" s="468" t="s">
        <v>462</v>
      </c>
    </row>
    <row r="33" spans="1:17">
      <c r="A33" s="33"/>
      <c r="B33" s="336">
        <v>15</v>
      </c>
      <c r="C33" s="337">
        <v>258.23417945913889</v>
      </c>
      <c r="D33" s="337">
        <v>223.59281454319725</v>
      </c>
      <c r="E33" s="337">
        <v>34.641364915941637</v>
      </c>
      <c r="F33" s="337">
        <v>16593.940415215071</v>
      </c>
      <c r="G33" s="337">
        <v>0</v>
      </c>
      <c r="H33" s="337">
        <v>258.23417945913889</v>
      </c>
      <c r="J33" s="330"/>
      <c r="K33" s="468">
        <v>15</v>
      </c>
      <c r="L33" s="467">
        <v>407.81</v>
      </c>
      <c r="M33" s="468" t="s">
        <v>489</v>
      </c>
      <c r="N33" s="468" t="s">
        <v>490</v>
      </c>
      <c r="O33" s="467">
        <v>0</v>
      </c>
      <c r="P33" s="468" t="s">
        <v>462</v>
      </c>
    </row>
    <row r="34" spans="1:17">
      <c r="A34" s="33"/>
      <c r="B34" s="336">
        <v>16</v>
      </c>
      <c r="C34" s="337">
        <v>258.23417945913889</v>
      </c>
      <c r="D34" s="337">
        <v>224.05337913226955</v>
      </c>
      <c r="E34" s="337">
        <v>34.180800326869324</v>
      </c>
      <c r="F34" s="337">
        <v>16369.887036082802</v>
      </c>
      <c r="G34" s="337">
        <v>0</v>
      </c>
      <c r="H34" s="337">
        <v>258.23417945913889</v>
      </c>
      <c r="J34" s="330"/>
      <c r="K34" s="468">
        <v>16</v>
      </c>
      <c r="L34" s="467">
        <v>402.64</v>
      </c>
      <c r="M34" s="468" t="s">
        <v>491</v>
      </c>
      <c r="N34" s="468" t="s">
        <v>492</v>
      </c>
      <c r="O34" s="467">
        <v>0</v>
      </c>
      <c r="P34" s="468" t="s">
        <v>462</v>
      </c>
    </row>
    <row r="35" spans="1:17">
      <c r="A35" s="33"/>
      <c r="B35" s="336">
        <v>17</v>
      </c>
      <c r="C35" s="337">
        <v>258.23417945913889</v>
      </c>
      <c r="D35" s="337">
        <v>224.51489240898704</v>
      </c>
      <c r="E35" s="337">
        <v>33.719287050151848</v>
      </c>
      <c r="F35" s="337">
        <v>16145.372143673816</v>
      </c>
      <c r="G35" s="337">
        <v>0</v>
      </c>
      <c r="H35" s="337">
        <v>258.23417945913889</v>
      </c>
      <c r="J35" s="330"/>
      <c r="K35" s="468">
        <v>17</v>
      </c>
      <c r="L35" s="467">
        <v>397.46</v>
      </c>
      <c r="M35" s="468" t="s">
        <v>493</v>
      </c>
      <c r="N35" s="468" t="s">
        <v>494</v>
      </c>
      <c r="O35" s="467">
        <v>0</v>
      </c>
      <c r="P35" s="468" t="s">
        <v>462</v>
      </c>
    </row>
    <row r="36" spans="1:17">
      <c r="A36" s="33"/>
      <c r="B36" s="336">
        <v>18</v>
      </c>
      <c r="C36" s="337">
        <v>258.23417945913889</v>
      </c>
      <c r="D36" s="337">
        <v>224.97735632749092</v>
      </c>
      <c r="E36" s="337">
        <v>33.25682313164797</v>
      </c>
      <c r="F36" s="337">
        <v>15920.394787346324</v>
      </c>
      <c r="G36" s="337">
        <v>0</v>
      </c>
      <c r="H36" s="337">
        <v>258.23417945913889</v>
      </c>
      <c r="J36" s="330"/>
      <c r="K36" s="468">
        <v>18</v>
      </c>
      <c r="L36" s="467">
        <v>392.26</v>
      </c>
      <c r="M36" s="468" t="s">
        <v>495</v>
      </c>
      <c r="N36" s="468" t="s">
        <v>496</v>
      </c>
      <c r="O36" s="467">
        <v>0</v>
      </c>
      <c r="P36" s="468" t="s">
        <v>462</v>
      </c>
    </row>
    <row r="37" spans="1:17">
      <c r="A37" s="33"/>
      <c r="B37" s="336">
        <v>19</v>
      </c>
      <c r="C37" s="337">
        <v>258.23417945913889</v>
      </c>
      <c r="D37" s="337">
        <v>225.44077284594761</v>
      </c>
      <c r="E37" s="337">
        <v>32.79340661319128</v>
      </c>
      <c r="F37" s="337">
        <v>15694.954014500378</v>
      </c>
      <c r="G37" s="337">
        <v>0</v>
      </c>
      <c r="H37" s="337">
        <v>258.23417945913889</v>
      </c>
      <c r="J37" s="330"/>
      <c r="K37" s="468">
        <v>19</v>
      </c>
      <c r="L37" s="467">
        <v>387.04</v>
      </c>
      <c r="M37" s="468" t="s">
        <v>497</v>
      </c>
      <c r="N37" s="468" t="s">
        <v>498</v>
      </c>
      <c r="O37" s="467">
        <v>0</v>
      </c>
      <c r="P37" s="468" t="s">
        <v>462</v>
      </c>
    </row>
    <row r="38" spans="1:17">
      <c r="A38" s="33"/>
      <c r="B38" s="336">
        <v>20</v>
      </c>
      <c r="C38" s="337">
        <v>258.23417945913889</v>
      </c>
      <c r="D38" s="337">
        <v>225.90514392655706</v>
      </c>
      <c r="E38" s="337">
        <v>32.329035532581834</v>
      </c>
      <c r="F38" s="337">
        <v>15469.048870573821</v>
      </c>
      <c r="G38" s="337">
        <v>0</v>
      </c>
      <c r="H38" s="337">
        <v>258.23417945913889</v>
      </c>
      <c r="J38" s="330"/>
      <c r="K38" s="468">
        <v>20</v>
      </c>
      <c r="L38" s="467">
        <v>381.8</v>
      </c>
      <c r="M38" s="468" t="s">
        <v>499</v>
      </c>
      <c r="N38" s="468" t="s">
        <v>500</v>
      </c>
      <c r="O38" s="467">
        <v>0</v>
      </c>
      <c r="P38" s="468" t="s">
        <v>462</v>
      </c>
    </row>
    <row r="39" spans="1:17">
      <c r="A39" s="33"/>
      <c r="B39" s="336">
        <v>21</v>
      </c>
      <c r="C39" s="337">
        <v>258.23417945913889</v>
      </c>
      <c r="D39" s="337">
        <v>226.37047153556105</v>
      </c>
      <c r="E39" s="337">
        <v>31.863707923577834</v>
      </c>
      <c r="F39" s="337">
        <v>15242.678399038259</v>
      </c>
      <c r="G39" s="337">
        <v>0</v>
      </c>
      <c r="H39" s="337">
        <v>258.23417945913889</v>
      </c>
      <c r="J39" s="330"/>
      <c r="K39" s="468">
        <v>21</v>
      </c>
      <c r="L39" s="467">
        <v>376.54</v>
      </c>
      <c r="M39" s="468" t="s">
        <v>501</v>
      </c>
      <c r="N39" s="468" t="s">
        <v>502</v>
      </c>
      <c r="O39" s="467">
        <v>0</v>
      </c>
      <c r="P39" s="468" t="s">
        <v>462</v>
      </c>
    </row>
    <row r="40" spans="1:17">
      <c r="A40" s="33"/>
      <c r="B40" s="336">
        <v>22</v>
      </c>
      <c r="C40" s="337">
        <v>258.23417945913889</v>
      </c>
      <c r="D40" s="337">
        <v>226.83675764325136</v>
      </c>
      <c r="E40" s="337">
        <v>31.397421815887515</v>
      </c>
      <c r="F40" s="337">
        <v>15015.841641395007</v>
      </c>
      <c r="G40" s="337">
        <v>0</v>
      </c>
      <c r="H40" s="337">
        <v>258.23417945913889</v>
      </c>
      <c r="J40" s="330"/>
      <c r="K40" s="468">
        <v>22</v>
      </c>
      <c r="L40" s="467">
        <v>371.27</v>
      </c>
      <c r="M40" s="468" t="s">
        <v>503</v>
      </c>
      <c r="N40" s="468" t="s">
        <v>504</v>
      </c>
      <c r="O40" s="467">
        <v>0</v>
      </c>
      <c r="P40" s="468" t="s">
        <v>462</v>
      </c>
    </row>
    <row r="41" spans="1:17">
      <c r="A41" s="33"/>
      <c r="B41" s="336">
        <v>23</v>
      </c>
      <c r="C41" s="337">
        <v>258.23417945913889</v>
      </c>
      <c r="D41" s="337">
        <v>227.30400422397847</v>
      </c>
      <c r="E41" s="337">
        <v>30.930175235160419</v>
      </c>
      <c r="F41" s="337">
        <v>14788.53763717103</v>
      </c>
      <c r="G41" s="337">
        <v>0</v>
      </c>
      <c r="H41" s="337">
        <v>258.23417945913889</v>
      </c>
      <c r="J41" s="330"/>
      <c r="K41" s="468">
        <v>23</v>
      </c>
      <c r="L41" s="467">
        <v>365.98</v>
      </c>
      <c r="M41" s="468" t="s">
        <v>505</v>
      </c>
      <c r="N41" s="468" t="s">
        <v>506</v>
      </c>
      <c r="O41" s="467">
        <v>0</v>
      </c>
      <c r="P41" s="468" t="s">
        <v>462</v>
      </c>
    </row>
    <row r="42" spans="1:17">
      <c r="A42" s="33" t="s">
        <v>289</v>
      </c>
      <c r="B42" s="336">
        <v>24</v>
      </c>
      <c r="C42" s="337">
        <v>258.23417945913889</v>
      </c>
      <c r="D42" s="337">
        <v>227.77221325615952</v>
      </c>
      <c r="E42" s="337">
        <v>30.461966202979358</v>
      </c>
      <c r="F42" s="337">
        <v>14560.765423914871</v>
      </c>
      <c r="G42" s="337">
        <v>0</v>
      </c>
      <c r="H42" s="337">
        <v>258.23417945913889</v>
      </c>
      <c r="I42" s="337">
        <f>I30</f>
        <v>49706.28</v>
      </c>
      <c r="J42" s="337">
        <v>10519.43</v>
      </c>
      <c r="K42" s="468">
        <v>24</v>
      </c>
      <c r="L42" s="467">
        <v>360.67</v>
      </c>
      <c r="M42" s="468" t="s">
        <v>507</v>
      </c>
      <c r="N42" s="468" t="s">
        <v>508</v>
      </c>
      <c r="O42" s="467">
        <v>0</v>
      </c>
      <c r="P42" s="468" t="s">
        <v>462</v>
      </c>
    </row>
    <row r="43" spans="1:17">
      <c r="A43" s="33"/>
      <c r="B43" s="336">
        <v>25</v>
      </c>
      <c r="C43" s="337">
        <v>258.23417945913889</v>
      </c>
      <c r="D43" s="337">
        <v>228.2413867222869</v>
      </c>
      <c r="E43" s="337">
        <v>29.992792736851982</v>
      </c>
      <c r="F43" s="337">
        <v>14332.524037192583</v>
      </c>
      <c r="G43" s="337">
        <v>0</v>
      </c>
      <c r="H43" s="337">
        <v>258.23417945913889</v>
      </c>
      <c r="J43" s="330"/>
      <c r="K43" s="468">
        <v>25</v>
      </c>
      <c r="L43" s="467">
        <v>355.34</v>
      </c>
      <c r="M43" s="468" t="s">
        <v>509</v>
      </c>
      <c r="N43" s="468" t="s">
        <v>510</v>
      </c>
      <c r="O43" s="467">
        <v>0</v>
      </c>
      <c r="P43" s="468" t="s">
        <v>462</v>
      </c>
    </row>
    <row r="44" spans="1:17">
      <c r="A44" s="33"/>
      <c r="B44" s="336">
        <v>26</v>
      </c>
      <c r="C44" s="337">
        <v>258.23417945913889</v>
      </c>
      <c r="D44" s="337">
        <v>228.71152660893671</v>
      </c>
      <c r="E44" s="337">
        <v>29.522652850202171</v>
      </c>
      <c r="F44" s="337">
        <v>14103.812510583648</v>
      </c>
      <c r="G44" s="337">
        <v>0</v>
      </c>
      <c r="H44" s="337">
        <v>258.23417945913889</v>
      </c>
      <c r="J44" s="330"/>
      <c r="K44" s="468">
        <v>26</v>
      </c>
      <c r="L44" s="467">
        <v>349.99</v>
      </c>
      <c r="M44" s="468" t="s">
        <v>511</v>
      </c>
      <c r="N44" s="468" t="s">
        <v>512</v>
      </c>
      <c r="O44" s="467">
        <v>0</v>
      </c>
      <c r="P44" s="468" t="s">
        <v>462</v>
      </c>
    </row>
    <row r="45" spans="1:17">
      <c r="A45" s="33"/>
      <c r="B45" s="336">
        <v>27</v>
      </c>
      <c r="C45" s="337">
        <v>258.23417945913889</v>
      </c>
      <c r="D45" s="337">
        <v>229.18263490677688</v>
      </c>
      <c r="E45" s="337">
        <v>29.051544552362</v>
      </c>
      <c r="F45" s="337">
        <v>13874.62987567687</v>
      </c>
      <c r="G45" s="337">
        <v>0</v>
      </c>
      <c r="H45" s="337">
        <v>258.23417945913889</v>
      </c>
      <c r="J45" s="330"/>
      <c r="K45" s="468">
        <v>27</v>
      </c>
      <c r="L45" s="467">
        <v>344.63</v>
      </c>
      <c r="M45" s="468" t="s">
        <v>513</v>
      </c>
      <c r="N45" s="468" t="s">
        <v>514</v>
      </c>
      <c r="O45" s="467">
        <v>0</v>
      </c>
      <c r="P45" s="468" t="s">
        <v>462</v>
      </c>
    </row>
    <row r="46" spans="1:17">
      <c r="A46" s="33"/>
      <c r="B46" s="336">
        <v>28</v>
      </c>
      <c r="C46" s="337">
        <v>258.23417945913889</v>
      </c>
      <c r="D46" s="337">
        <v>229.65471361057598</v>
      </c>
      <c r="E46" s="337">
        <v>28.579465848562901</v>
      </c>
      <c r="F46" s="337">
        <v>13644.975162066294</v>
      </c>
      <c r="G46" s="337">
        <v>0</v>
      </c>
      <c r="H46" s="337">
        <v>258.23417945913889</v>
      </c>
      <c r="J46" s="330"/>
      <c r="K46" s="468">
        <v>28</v>
      </c>
      <c r="L46" s="467">
        <v>339.25</v>
      </c>
      <c r="M46" s="468" t="s">
        <v>515</v>
      </c>
      <c r="N46" s="468" t="s">
        <v>516</v>
      </c>
      <c r="O46" s="467">
        <v>0</v>
      </c>
      <c r="P46" s="468" t="s">
        <v>462</v>
      </c>
      <c r="Q46" s="468" t="s">
        <v>419</v>
      </c>
    </row>
    <row r="47" spans="1:17">
      <c r="A47" s="33"/>
      <c r="B47" s="336">
        <v>29</v>
      </c>
      <c r="C47" s="337">
        <v>258.23417945913889</v>
      </c>
      <c r="D47" s="337">
        <v>230.12776471921143</v>
      </c>
      <c r="E47" s="337">
        <v>28.106414739927466</v>
      </c>
      <c r="F47" s="337">
        <v>13414.847397347083</v>
      </c>
      <c r="G47" s="337">
        <v>0</v>
      </c>
      <c r="H47" s="337">
        <v>258.23417945913889</v>
      </c>
      <c r="J47" s="330"/>
      <c r="K47" s="468">
        <v>29</v>
      </c>
      <c r="L47" s="467">
        <v>333.85</v>
      </c>
      <c r="M47" s="468" t="s">
        <v>517</v>
      </c>
      <c r="N47" s="468" t="s">
        <v>518</v>
      </c>
      <c r="O47" s="467">
        <v>0</v>
      </c>
      <c r="P47" s="468" t="s">
        <v>462</v>
      </c>
      <c r="Q47" s="468" t="s">
        <v>419</v>
      </c>
    </row>
    <row r="48" spans="1:17">
      <c r="A48" s="33"/>
      <c r="B48" s="336">
        <v>30</v>
      </c>
      <c r="C48" s="337">
        <v>258.23417945913889</v>
      </c>
      <c r="D48" s="337">
        <v>230.60179023567784</v>
      </c>
      <c r="E48" s="337">
        <v>27.63238922346104</v>
      </c>
      <c r="F48" s="337">
        <v>13184.245607111403</v>
      </c>
      <c r="G48" s="337">
        <v>0</v>
      </c>
      <c r="H48" s="337">
        <v>258.23417945913889</v>
      </c>
      <c r="J48" s="330"/>
      <c r="K48" s="468">
        <v>30</v>
      </c>
      <c r="L48" s="467">
        <v>328.43</v>
      </c>
      <c r="M48" s="468" t="s">
        <v>519</v>
      </c>
      <c r="N48" s="468" t="s">
        <v>520</v>
      </c>
      <c r="O48" s="467">
        <v>0</v>
      </c>
      <c r="P48" s="468" t="s">
        <v>462</v>
      </c>
      <c r="Q48" s="468" t="s">
        <v>419</v>
      </c>
    </row>
    <row r="49" spans="1:17">
      <c r="A49" s="33"/>
      <c r="B49" s="336">
        <v>31</v>
      </c>
      <c r="C49" s="337">
        <v>258.23417945913889</v>
      </c>
      <c r="D49" s="337">
        <v>231.07679216709596</v>
      </c>
      <c r="E49" s="337">
        <v>27.157387292042927</v>
      </c>
      <c r="F49" s="337">
        <v>12953.168814944307</v>
      </c>
      <c r="G49" s="337">
        <v>0</v>
      </c>
      <c r="H49" s="337">
        <v>258.23417945913889</v>
      </c>
      <c r="J49" s="330"/>
      <c r="K49" s="468">
        <v>31</v>
      </c>
      <c r="L49" s="467">
        <v>322.99</v>
      </c>
      <c r="M49" s="468" t="s">
        <v>521</v>
      </c>
      <c r="N49" s="468" t="s">
        <v>522</v>
      </c>
      <c r="O49" s="467">
        <v>0</v>
      </c>
      <c r="P49" s="468" t="s">
        <v>462</v>
      </c>
      <c r="Q49" s="468" t="s">
        <v>419</v>
      </c>
    </row>
    <row r="50" spans="1:17">
      <c r="A50" s="33"/>
      <c r="B50" s="336">
        <v>32</v>
      </c>
      <c r="C50" s="337">
        <v>258.23417945913889</v>
      </c>
      <c r="D50" s="337">
        <v>231.55277252472069</v>
      </c>
      <c r="E50" s="337">
        <v>26.681406934418192</v>
      </c>
      <c r="F50" s="337">
        <v>12721.616042419588</v>
      </c>
      <c r="G50" s="337">
        <v>0</v>
      </c>
      <c r="H50" s="337">
        <v>258.23417945913889</v>
      </c>
      <c r="J50" s="330"/>
      <c r="K50" s="468">
        <v>32</v>
      </c>
      <c r="L50" s="467">
        <v>317.52999999999997</v>
      </c>
      <c r="M50" s="468" t="s">
        <v>523</v>
      </c>
      <c r="N50" s="468" t="s">
        <v>524</v>
      </c>
      <c r="O50" s="467">
        <v>0</v>
      </c>
      <c r="P50" s="468" t="s">
        <v>462</v>
      </c>
      <c r="Q50" s="468" t="s">
        <v>419</v>
      </c>
    </row>
    <row r="51" spans="1:17">
      <c r="A51" s="33"/>
      <c r="B51" s="336">
        <v>33</v>
      </c>
      <c r="C51" s="337">
        <v>258.23417945913889</v>
      </c>
      <c r="D51" s="337">
        <v>232.02973332394973</v>
      </c>
      <c r="E51" s="337">
        <v>26.204446135189162</v>
      </c>
      <c r="F51" s="337">
        <v>12489.586309095637</v>
      </c>
      <c r="G51" s="337">
        <v>0</v>
      </c>
      <c r="H51" s="337">
        <v>258.23417945913889</v>
      </c>
      <c r="J51" s="330"/>
      <c r="K51" s="468">
        <v>33</v>
      </c>
      <c r="L51" s="467">
        <v>312.06</v>
      </c>
      <c r="M51" s="468" t="s">
        <v>525</v>
      </c>
      <c r="N51" s="468" t="s">
        <v>526</v>
      </c>
      <c r="O51" s="467">
        <v>0</v>
      </c>
      <c r="P51" s="468" t="s">
        <v>462</v>
      </c>
      <c r="Q51" s="468" t="s">
        <v>419</v>
      </c>
    </row>
    <row r="52" spans="1:17">
      <c r="A52" s="33"/>
      <c r="B52" s="336">
        <v>34</v>
      </c>
      <c r="C52" s="337">
        <v>258.23417945913889</v>
      </c>
      <c r="D52" s="337">
        <v>232.50767658433233</v>
      </c>
      <c r="E52" s="337">
        <v>25.72650287480657</v>
      </c>
      <c r="F52" s="337">
        <v>12257.078632511304</v>
      </c>
      <c r="G52" s="337">
        <v>0</v>
      </c>
      <c r="H52" s="337">
        <v>258.23417945913889</v>
      </c>
      <c r="J52" s="330"/>
      <c r="K52" s="468">
        <v>34</v>
      </c>
      <c r="L52" s="467">
        <v>306.56</v>
      </c>
      <c r="M52" s="468" t="s">
        <v>527</v>
      </c>
      <c r="N52" s="468" t="s">
        <v>528</v>
      </c>
      <c r="O52" s="467">
        <v>0</v>
      </c>
      <c r="P52" s="468" t="s">
        <v>462</v>
      </c>
      <c r="Q52" s="468" t="s">
        <v>419</v>
      </c>
    </row>
    <row r="53" spans="1:17">
      <c r="A53" s="33"/>
      <c r="B53" s="336">
        <v>35</v>
      </c>
      <c r="C53" s="337">
        <v>258.23417945913889</v>
      </c>
      <c r="D53" s="337">
        <v>232.98660432957757</v>
      </c>
      <c r="E53" s="337">
        <v>25.247575129561298</v>
      </c>
      <c r="F53" s="337">
        <v>12024.092028181727</v>
      </c>
      <c r="G53" s="337">
        <v>0</v>
      </c>
      <c r="H53" s="337">
        <v>258.23417945913889</v>
      </c>
      <c r="J53" s="330"/>
      <c r="K53" s="468">
        <v>35</v>
      </c>
      <c r="L53" s="467">
        <v>301.05</v>
      </c>
      <c r="M53" s="468" t="s">
        <v>529</v>
      </c>
      <c r="N53" s="468" t="s">
        <v>530</v>
      </c>
      <c r="O53" s="467">
        <v>0</v>
      </c>
      <c r="P53" s="468" t="s">
        <v>462</v>
      </c>
      <c r="Q53" s="468" t="s">
        <v>419</v>
      </c>
    </row>
    <row r="54" spans="1:17">
      <c r="A54" s="33" t="s">
        <v>290</v>
      </c>
      <c r="B54" s="336">
        <v>36</v>
      </c>
      <c r="C54" s="337">
        <v>258.23417945913889</v>
      </c>
      <c r="D54" s="337">
        <v>233.46651858756314</v>
      </c>
      <c r="E54" s="337">
        <v>24.767660871575732</v>
      </c>
      <c r="F54" s="337">
        <v>11790.625509594163</v>
      </c>
      <c r="G54" s="337">
        <v>0</v>
      </c>
      <c r="H54" s="337">
        <v>258.23417945913889</v>
      </c>
      <c r="I54" s="337">
        <f>I42</f>
        <v>49706.28</v>
      </c>
      <c r="J54" s="337">
        <v>8800.7800000000007</v>
      </c>
      <c r="K54" s="468">
        <v>36</v>
      </c>
      <c r="L54" s="467">
        <v>295.52</v>
      </c>
      <c r="M54" s="468" t="s">
        <v>531</v>
      </c>
      <c r="N54" s="468" t="s">
        <v>532</v>
      </c>
      <c r="O54" s="467">
        <v>0</v>
      </c>
      <c r="P54" s="468" t="s">
        <v>462</v>
      </c>
      <c r="Q54" s="468" t="s">
        <v>419</v>
      </c>
    </row>
    <row r="55" spans="1:17">
      <c r="A55" s="33"/>
      <c r="B55" s="336">
        <v>37</v>
      </c>
      <c r="C55" s="337">
        <v>258.23417945913889</v>
      </c>
      <c r="D55" s="337">
        <v>233.94742139034375</v>
      </c>
      <c r="E55" s="337">
        <v>24.286758068795134</v>
      </c>
      <c r="F55" s="337">
        <v>11556.67808820382</v>
      </c>
      <c r="G55" s="337">
        <v>0</v>
      </c>
      <c r="H55" s="337">
        <v>258.23417945913889</v>
      </c>
      <c r="J55" s="330"/>
      <c r="K55" s="468">
        <v>37</v>
      </c>
      <c r="L55" s="467">
        <v>289.97000000000003</v>
      </c>
      <c r="M55" s="468" t="s">
        <v>533</v>
      </c>
      <c r="N55" s="468" t="s">
        <v>534</v>
      </c>
      <c r="O55" s="467">
        <v>0</v>
      </c>
      <c r="P55" s="468" t="s">
        <v>462</v>
      </c>
      <c r="Q55" s="468" t="s">
        <v>419</v>
      </c>
    </row>
    <row r="56" spans="1:17">
      <c r="A56" s="33"/>
      <c r="B56" s="336">
        <v>38</v>
      </c>
      <c r="C56" s="337">
        <v>258.23417945913889</v>
      </c>
      <c r="D56" s="337">
        <v>234.42931477415976</v>
      </c>
      <c r="E56" s="337">
        <v>23.804864684979119</v>
      </c>
      <c r="F56" s="337">
        <v>11322.248773429661</v>
      </c>
      <c r="G56" s="337">
        <v>0</v>
      </c>
      <c r="H56" s="337">
        <v>258.23417945913889</v>
      </c>
      <c r="J56" s="330"/>
      <c r="K56" s="468">
        <v>38</v>
      </c>
      <c r="L56" s="467">
        <v>284.39999999999998</v>
      </c>
      <c r="M56" s="468" t="s">
        <v>535</v>
      </c>
      <c r="N56" s="468" t="s">
        <v>536</v>
      </c>
      <c r="O56" s="467">
        <v>0</v>
      </c>
      <c r="P56" s="468" t="s">
        <v>462</v>
      </c>
      <c r="Q56" s="468" t="s">
        <v>419</v>
      </c>
    </row>
    <row r="57" spans="1:17">
      <c r="A57" s="33"/>
      <c r="B57" s="336">
        <v>39</v>
      </c>
      <c r="C57" s="337">
        <v>258.23417945913889</v>
      </c>
      <c r="D57" s="337">
        <v>234.91220077944593</v>
      </c>
      <c r="E57" s="337">
        <v>23.32197867969295</v>
      </c>
      <c r="F57" s="337">
        <v>11087.336572650214</v>
      </c>
      <c r="G57" s="337">
        <v>0</v>
      </c>
      <c r="H57" s="337">
        <v>258.23417945913889</v>
      </c>
      <c r="J57" s="330"/>
      <c r="K57" s="468">
        <v>39</v>
      </c>
      <c r="L57" s="467">
        <v>278.81</v>
      </c>
      <c r="M57" s="468" t="s">
        <v>537</v>
      </c>
      <c r="N57" s="468" t="s">
        <v>538</v>
      </c>
      <c r="O57" s="467">
        <v>0</v>
      </c>
      <c r="P57" s="468" t="s">
        <v>462</v>
      </c>
      <c r="Q57" s="468" t="s">
        <v>419</v>
      </c>
    </row>
    <row r="58" spans="1:17">
      <c r="A58" s="33"/>
      <c r="B58" s="336">
        <v>40</v>
      </c>
      <c r="C58" s="337">
        <v>258.23417945913889</v>
      </c>
      <c r="D58" s="337">
        <v>235.39608145084009</v>
      </c>
      <c r="E58" s="337">
        <v>22.838098008298807</v>
      </c>
      <c r="F58" s="337">
        <v>10851.940491199373</v>
      </c>
      <c r="G58" s="337">
        <v>0</v>
      </c>
      <c r="H58" s="337">
        <v>258.23417945913889</v>
      </c>
      <c r="J58" s="330"/>
      <c r="K58" s="468">
        <v>40</v>
      </c>
      <c r="L58" s="467">
        <v>273.2</v>
      </c>
      <c r="M58" s="468" t="s">
        <v>539</v>
      </c>
      <c r="N58" s="468" t="s">
        <v>540</v>
      </c>
      <c r="O58" s="467">
        <v>0</v>
      </c>
      <c r="P58" s="468" t="s">
        <v>462</v>
      </c>
    </row>
    <row r="59" spans="1:17">
      <c r="A59" s="33"/>
      <c r="B59" s="336">
        <v>41</v>
      </c>
      <c r="C59" s="337">
        <v>258.23417945913889</v>
      </c>
      <c r="D59" s="337">
        <v>235.88095883719132</v>
      </c>
      <c r="E59" s="337">
        <v>22.353220621947564</v>
      </c>
      <c r="F59" s="337">
        <v>10616.059532362182</v>
      </c>
      <c r="G59" s="337">
        <v>0</v>
      </c>
      <c r="H59" s="337">
        <v>258.23417945913889</v>
      </c>
      <c r="J59" s="330"/>
      <c r="K59" s="468">
        <v>41</v>
      </c>
      <c r="L59" s="467">
        <v>267.57</v>
      </c>
      <c r="M59" s="468" t="s">
        <v>541</v>
      </c>
      <c r="N59" s="468" t="s">
        <v>542</v>
      </c>
      <c r="O59" s="467">
        <v>0</v>
      </c>
      <c r="P59" s="468" t="s">
        <v>462</v>
      </c>
    </row>
    <row r="60" spans="1:17">
      <c r="A60" s="33"/>
      <c r="B60" s="336">
        <v>42</v>
      </c>
      <c r="C60" s="337">
        <v>258.23417945913889</v>
      </c>
      <c r="D60" s="337">
        <v>236.36683499156948</v>
      </c>
      <c r="E60" s="337">
        <v>21.867344467569396</v>
      </c>
      <c r="F60" s="337">
        <v>10379.692697370612</v>
      </c>
      <c r="G60" s="337">
        <v>0</v>
      </c>
      <c r="H60" s="337">
        <v>258.23417945913889</v>
      </c>
      <c r="J60" s="330"/>
      <c r="K60" s="468">
        <v>42</v>
      </c>
      <c r="L60" s="467">
        <v>261.93</v>
      </c>
      <c r="M60" s="468" t="s">
        <v>543</v>
      </c>
      <c r="N60" s="468" t="s">
        <v>544</v>
      </c>
      <c r="O60" s="467">
        <v>0</v>
      </c>
      <c r="P60" s="468" t="s">
        <v>462</v>
      </c>
      <c r="Q60" s="468" t="s">
        <v>419</v>
      </c>
    </row>
    <row r="61" spans="1:17">
      <c r="A61" s="33"/>
      <c r="B61" s="336">
        <v>43</v>
      </c>
      <c r="C61" s="337">
        <v>258.23417945913889</v>
      </c>
      <c r="D61" s="337">
        <v>236.85371197127301</v>
      </c>
      <c r="E61" s="337">
        <v>21.380467487865861</v>
      </c>
      <c r="F61" s="337">
        <v>10142.838985399339</v>
      </c>
      <c r="G61" s="337">
        <v>0</v>
      </c>
      <c r="H61" s="337">
        <v>258.23417945913889</v>
      </c>
      <c r="J61" s="330"/>
      <c r="K61" s="468">
        <v>43</v>
      </c>
      <c r="L61" s="467">
        <v>256.26</v>
      </c>
      <c r="M61" s="468" t="s">
        <v>545</v>
      </c>
      <c r="N61" s="468" t="s">
        <v>546</v>
      </c>
      <c r="O61" s="467">
        <v>0</v>
      </c>
      <c r="P61" s="468" t="s">
        <v>462</v>
      </c>
      <c r="Q61" s="468" t="s">
        <v>419</v>
      </c>
    </row>
    <row r="62" spans="1:17">
      <c r="A62" s="33"/>
      <c r="B62" s="336">
        <v>44</v>
      </c>
      <c r="C62" s="337">
        <v>258.23417945913889</v>
      </c>
      <c r="D62" s="337">
        <v>237.34159183783834</v>
      </c>
      <c r="E62" s="337">
        <v>20.892587621300542</v>
      </c>
      <c r="F62" s="337">
        <v>9905.4973935615017</v>
      </c>
      <c r="G62" s="337">
        <v>0</v>
      </c>
      <c r="H62" s="337">
        <v>258.23417945913889</v>
      </c>
      <c r="J62" s="330"/>
      <c r="K62" s="468">
        <v>44</v>
      </c>
      <c r="L62" s="467">
        <v>250.58</v>
      </c>
      <c r="M62" s="468" t="s">
        <v>547</v>
      </c>
      <c r="N62" s="468" t="s">
        <v>548</v>
      </c>
      <c r="O62" s="467">
        <v>0</v>
      </c>
      <c r="P62" s="468" t="s">
        <v>462</v>
      </c>
      <c r="Q62" s="468" t="s">
        <v>419</v>
      </c>
    </row>
    <row r="63" spans="1:17">
      <c r="A63" s="33"/>
      <c r="B63" s="336">
        <v>45</v>
      </c>
      <c r="C63" s="337">
        <v>258.23417945913889</v>
      </c>
      <c r="D63" s="337">
        <v>237.83047665704814</v>
      </c>
      <c r="E63" s="337">
        <v>20.403702802090741</v>
      </c>
      <c r="F63" s="337">
        <v>9667.6669169044526</v>
      </c>
      <c r="G63" s="337">
        <v>0</v>
      </c>
      <c r="H63" s="337">
        <v>258.23417945913889</v>
      </c>
      <c r="J63" s="330"/>
      <c r="K63" s="468">
        <v>45</v>
      </c>
      <c r="L63" s="467">
        <v>244.87</v>
      </c>
      <c r="M63" s="468" t="s">
        <v>549</v>
      </c>
      <c r="N63" s="468" t="s">
        <v>550</v>
      </c>
      <c r="O63" s="467">
        <v>0</v>
      </c>
      <c r="P63" s="468" t="s">
        <v>462</v>
      </c>
      <c r="Q63" s="468" t="s">
        <v>419</v>
      </c>
    </row>
    <row r="64" spans="1:17">
      <c r="A64" s="33"/>
      <c r="B64" s="336">
        <v>46</v>
      </c>
      <c r="C64" s="337">
        <v>258.23417945913889</v>
      </c>
      <c r="D64" s="337">
        <v>238.3203684989403</v>
      </c>
      <c r="E64" s="337">
        <v>19.913810960198585</v>
      </c>
      <c r="F64" s="337">
        <v>9429.3465484055123</v>
      </c>
      <c r="G64" s="337">
        <v>0</v>
      </c>
      <c r="H64" s="337">
        <v>258.23417945913889</v>
      </c>
      <c r="J64" s="330"/>
      <c r="K64" s="468">
        <v>46</v>
      </c>
      <c r="L64" s="467">
        <v>239.15</v>
      </c>
      <c r="M64" s="468" t="s">
        <v>551</v>
      </c>
      <c r="N64" s="468" t="s">
        <v>552</v>
      </c>
      <c r="O64" s="467">
        <v>0</v>
      </c>
      <c r="P64" s="468" t="s">
        <v>462</v>
      </c>
      <c r="Q64" s="468" t="s">
        <v>419</v>
      </c>
    </row>
    <row r="65" spans="1:17">
      <c r="A65" s="33"/>
      <c r="B65" s="336">
        <v>47</v>
      </c>
      <c r="C65" s="337">
        <v>258.23417945913889</v>
      </c>
      <c r="D65" s="337">
        <v>238.81126943781672</v>
      </c>
      <c r="E65" s="337">
        <v>19.42291002132216</v>
      </c>
      <c r="F65" s="337">
        <v>9190.5352789676963</v>
      </c>
      <c r="G65" s="337">
        <v>0</v>
      </c>
      <c r="H65" s="337">
        <v>258.23417945913889</v>
      </c>
      <c r="J65" s="330"/>
      <c r="K65" s="468">
        <v>47</v>
      </c>
      <c r="L65" s="467">
        <v>233.41</v>
      </c>
      <c r="M65" s="468" t="s">
        <v>553</v>
      </c>
      <c r="N65" s="468" t="s">
        <v>554</v>
      </c>
      <c r="O65" s="467">
        <v>0</v>
      </c>
      <c r="P65" s="468" t="s">
        <v>462</v>
      </c>
      <c r="Q65" s="468" t="s">
        <v>419</v>
      </c>
    </row>
    <row r="66" spans="1:17">
      <c r="A66" s="33" t="s">
        <v>291</v>
      </c>
      <c r="B66" s="336">
        <v>48</v>
      </c>
      <c r="C66" s="337">
        <v>258.23417945913889</v>
      </c>
      <c r="D66" s="337">
        <v>239.30318155225191</v>
      </c>
      <c r="E66" s="337">
        <v>18.930997906886969</v>
      </c>
      <c r="F66" s="337">
        <v>8951.2320974154445</v>
      </c>
      <c r="G66" s="337">
        <v>0</v>
      </c>
      <c r="H66" s="337">
        <v>258.23417945913889</v>
      </c>
      <c r="I66" s="337">
        <f>I54</f>
        <v>49706.28</v>
      </c>
      <c r="J66" s="337">
        <v>7006.76</v>
      </c>
      <c r="K66" s="468">
        <v>48</v>
      </c>
      <c r="L66" s="467">
        <v>227.64</v>
      </c>
      <c r="M66" s="468" t="s">
        <v>555</v>
      </c>
      <c r="N66" s="468" t="s">
        <v>556</v>
      </c>
      <c r="O66" s="467">
        <v>0</v>
      </c>
      <c r="P66" s="468" t="s">
        <v>462</v>
      </c>
      <c r="Q66" s="468" t="s">
        <v>419</v>
      </c>
    </row>
    <row r="67" spans="1:17">
      <c r="A67" s="33"/>
      <c r="B67" s="336">
        <v>49</v>
      </c>
      <c r="C67" s="337">
        <v>258.23417945913889</v>
      </c>
      <c r="D67" s="337">
        <v>239.79610692510201</v>
      </c>
      <c r="E67" s="337">
        <v>18.438072534036877</v>
      </c>
      <c r="F67" s="337">
        <v>8711.4359904903431</v>
      </c>
      <c r="G67" s="337">
        <v>0</v>
      </c>
      <c r="H67" s="337">
        <v>258.23417945913889</v>
      </c>
      <c r="J67" s="330"/>
      <c r="K67" s="468">
        <v>49</v>
      </c>
      <c r="L67" s="467">
        <v>221.86</v>
      </c>
      <c r="M67" s="468" t="s">
        <v>557</v>
      </c>
      <c r="N67" s="468" t="s">
        <v>558</v>
      </c>
      <c r="O67" s="467">
        <v>0</v>
      </c>
      <c r="P67" s="468" t="s">
        <v>462</v>
      </c>
      <c r="Q67" s="468" t="s">
        <v>419</v>
      </c>
    </row>
    <row r="68" spans="1:17">
      <c r="A68" s="33"/>
      <c r="B68" s="336">
        <v>50</v>
      </c>
      <c r="C68" s="337">
        <v>258.23417945913889</v>
      </c>
      <c r="D68" s="337">
        <v>240.29004764351342</v>
      </c>
      <c r="E68" s="337">
        <v>17.944131815625465</v>
      </c>
      <c r="F68" s="337">
        <v>8471.1459428468297</v>
      </c>
      <c r="G68" s="337">
        <v>0</v>
      </c>
      <c r="H68" s="337">
        <v>258.23417945913889</v>
      </c>
      <c r="J68" s="330"/>
      <c r="K68" s="468">
        <v>50</v>
      </c>
      <c r="L68" s="467">
        <v>216.06</v>
      </c>
      <c r="M68" s="468" t="s">
        <v>559</v>
      </c>
      <c r="N68" s="468" t="s">
        <v>560</v>
      </c>
      <c r="O68" s="467">
        <v>0</v>
      </c>
      <c r="P68" s="468" t="s">
        <v>462</v>
      </c>
      <c r="Q68" s="468" t="s">
        <v>419</v>
      </c>
    </row>
    <row r="69" spans="1:17">
      <c r="A69" s="33"/>
      <c r="B69" s="336">
        <v>51</v>
      </c>
      <c r="C69" s="337">
        <v>258.23417945913889</v>
      </c>
      <c r="D69" s="337">
        <v>240.78500579893176</v>
      </c>
      <c r="E69" s="337">
        <v>17.449173660207109</v>
      </c>
      <c r="F69" s="337">
        <v>8230.3609370478971</v>
      </c>
      <c r="G69" s="337">
        <v>0</v>
      </c>
      <c r="H69" s="337">
        <v>258.23417945913889</v>
      </c>
      <c r="J69" s="330"/>
      <c r="K69" s="468">
        <v>51</v>
      </c>
      <c r="L69" s="467">
        <v>210.24</v>
      </c>
      <c r="M69" s="468" t="s">
        <v>561</v>
      </c>
      <c r="N69" s="468" t="s">
        <v>562</v>
      </c>
      <c r="O69" s="467">
        <v>0</v>
      </c>
      <c r="P69" s="468" t="s">
        <v>462</v>
      </c>
      <c r="Q69" s="468" t="s">
        <v>419</v>
      </c>
    </row>
    <row r="70" spans="1:17">
      <c r="A70" s="33"/>
      <c r="B70" s="336">
        <v>52</v>
      </c>
      <c r="C70" s="337">
        <v>258.23417945913889</v>
      </c>
      <c r="D70" s="337">
        <v>241.28098348711066</v>
      </c>
      <c r="E70" s="337">
        <v>16.953195972028215</v>
      </c>
      <c r="F70" s="337">
        <v>7989.0799535607857</v>
      </c>
      <c r="G70" s="337">
        <v>0</v>
      </c>
      <c r="H70" s="337">
        <v>258.23417945913889</v>
      </c>
      <c r="J70" s="330"/>
      <c r="K70" s="468">
        <v>52</v>
      </c>
      <c r="L70" s="467">
        <v>204.4</v>
      </c>
      <c r="M70" s="468" t="s">
        <v>563</v>
      </c>
      <c r="N70" s="468" t="s">
        <v>564</v>
      </c>
      <c r="O70" s="467">
        <v>0</v>
      </c>
      <c r="P70" s="468" t="s">
        <v>462</v>
      </c>
      <c r="Q70" s="468" t="s">
        <v>419</v>
      </c>
    </row>
    <row r="71" spans="1:17">
      <c r="A71" s="33"/>
      <c r="B71" s="336">
        <v>53</v>
      </c>
      <c r="C71" s="337">
        <v>258.23417945913889</v>
      </c>
      <c r="D71" s="337">
        <v>241.77798280812081</v>
      </c>
      <c r="E71" s="337">
        <v>16.456196651018068</v>
      </c>
      <c r="F71" s="337">
        <v>7747.3019707526655</v>
      </c>
      <c r="G71" s="337">
        <v>0</v>
      </c>
      <c r="H71" s="337">
        <v>258.23417945913889</v>
      </c>
      <c r="J71" s="330"/>
      <c r="K71" s="468">
        <v>53</v>
      </c>
      <c r="L71" s="467">
        <v>198.53</v>
      </c>
      <c r="M71" s="468" t="s">
        <v>565</v>
      </c>
      <c r="N71" s="468" t="s">
        <v>566</v>
      </c>
      <c r="O71" s="467">
        <v>0</v>
      </c>
      <c r="P71" s="468" t="s">
        <v>462</v>
      </c>
      <c r="Q71" s="468" t="s">
        <v>419</v>
      </c>
    </row>
    <row r="72" spans="1:17">
      <c r="A72" s="33"/>
      <c r="B72" s="336">
        <v>54</v>
      </c>
      <c r="C72" s="337">
        <v>258.23417945913889</v>
      </c>
      <c r="D72" s="337">
        <v>242.27600586635833</v>
      </c>
      <c r="E72" s="337">
        <v>15.958173592780561</v>
      </c>
      <c r="F72" s="337">
        <v>7505.0259648863066</v>
      </c>
      <c r="G72" s="337">
        <v>0</v>
      </c>
      <c r="H72" s="337">
        <v>258.23417945913889</v>
      </c>
      <c r="J72" s="330"/>
      <c r="K72" s="468">
        <v>54</v>
      </c>
      <c r="L72" s="467">
        <v>192.65</v>
      </c>
      <c r="M72" s="468" t="s">
        <v>567</v>
      </c>
      <c r="N72" s="468" t="s">
        <v>568</v>
      </c>
      <c r="O72" s="467">
        <v>0</v>
      </c>
      <c r="P72" s="468" t="s">
        <v>462</v>
      </c>
    </row>
    <row r="73" spans="1:17">
      <c r="A73" s="33"/>
      <c r="B73" s="336">
        <v>55</v>
      </c>
      <c r="C73" s="337">
        <v>258.23417945913889</v>
      </c>
      <c r="D73" s="337">
        <v>242.7750547705545</v>
      </c>
      <c r="E73" s="337">
        <v>15.459124688584374</v>
      </c>
      <c r="F73" s="337">
        <v>7262.250910115752</v>
      </c>
      <c r="G73" s="337">
        <v>0</v>
      </c>
      <c r="H73" s="337">
        <v>258.23417945913889</v>
      </c>
      <c r="J73" s="330"/>
      <c r="K73" s="468">
        <v>55</v>
      </c>
      <c r="L73" s="467">
        <v>186.75</v>
      </c>
      <c r="M73" s="468" t="s">
        <v>569</v>
      </c>
      <c r="N73" s="468" t="s">
        <v>570</v>
      </c>
      <c r="O73" s="467">
        <v>0</v>
      </c>
      <c r="P73" s="468" t="s">
        <v>462</v>
      </c>
    </row>
    <row r="74" spans="1:17">
      <c r="A74" s="33"/>
      <c r="B74" s="336">
        <v>56</v>
      </c>
      <c r="C74" s="337">
        <v>258.23417945913889</v>
      </c>
      <c r="D74" s="337">
        <v>243.27513163378399</v>
      </c>
      <c r="E74" s="337">
        <v>14.959047825354906</v>
      </c>
      <c r="F74" s="337">
        <v>7018.9757784819685</v>
      </c>
      <c r="G74" s="337">
        <v>0</v>
      </c>
      <c r="H74" s="337">
        <v>258.23417945913889</v>
      </c>
      <c r="J74" s="330"/>
      <c r="K74" s="468">
        <v>56</v>
      </c>
      <c r="L74" s="467">
        <v>180.83</v>
      </c>
      <c r="M74" s="468" t="s">
        <v>571</v>
      </c>
      <c r="N74" s="468" t="s">
        <v>572</v>
      </c>
      <c r="O74" s="467">
        <v>0</v>
      </c>
      <c r="P74" s="468" t="s">
        <v>462</v>
      </c>
      <c r="Q74" s="468" t="s">
        <v>419</v>
      </c>
    </row>
    <row r="75" spans="1:17">
      <c r="A75" s="33"/>
      <c r="B75" s="336">
        <v>57</v>
      </c>
      <c r="C75" s="337">
        <v>258.23417945913889</v>
      </c>
      <c r="D75" s="337">
        <v>243.77623857347402</v>
      </c>
      <c r="E75" s="337">
        <v>14.457940885664872</v>
      </c>
      <c r="F75" s="337">
        <v>6775.1995399084935</v>
      </c>
      <c r="G75" s="337">
        <v>0</v>
      </c>
      <c r="H75" s="337">
        <v>258.23417945913889</v>
      </c>
      <c r="J75" s="330"/>
      <c r="K75" s="468">
        <v>57</v>
      </c>
      <c r="L75" s="467">
        <v>174.89</v>
      </c>
      <c r="M75" s="468" t="s">
        <v>573</v>
      </c>
      <c r="N75" s="468" t="s">
        <v>574</v>
      </c>
      <c r="O75" s="467">
        <v>0</v>
      </c>
      <c r="P75" s="468" t="s">
        <v>462</v>
      </c>
      <c r="Q75" s="468" t="s">
        <v>419</v>
      </c>
    </row>
    <row r="76" spans="1:17">
      <c r="A76" s="33"/>
      <c r="B76" s="336">
        <v>58</v>
      </c>
      <c r="C76" s="337">
        <v>258.23417945913889</v>
      </c>
      <c r="D76" s="337">
        <v>244.2783777114135</v>
      </c>
      <c r="E76" s="337">
        <v>13.95580174772538</v>
      </c>
      <c r="F76" s="337">
        <v>6530.9211621970808</v>
      </c>
      <c r="G76" s="337">
        <v>0</v>
      </c>
      <c r="H76" s="337">
        <v>258.23417945913889</v>
      </c>
      <c r="J76" s="330"/>
      <c r="K76" s="468">
        <v>58</v>
      </c>
      <c r="L76" s="467">
        <v>168.92</v>
      </c>
      <c r="M76" s="468" t="s">
        <v>575</v>
      </c>
      <c r="N76" s="468" t="s">
        <v>576</v>
      </c>
      <c r="O76" s="467">
        <v>0</v>
      </c>
      <c r="P76" s="468" t="s">
        <v>462</v>
      </c>
      <c r="Q76" s="468" t="s">
        <v>419</v>
      </c>
    </row>
    <row r="77" spans="1:17">
      <c r="A77" s="33"/>
      <c r="B77" s="336">
        <v>59</v>
      </c>
      <c r="C77" s="337">
        <v>258.23417945913889</v>
      </c>
      <c r="D77" s="337">
        <v>244.78155117376178</v>
      </c>
      <c r="E77" s="337">
        <v>13.4526282853771</v>
      </c>
      <c r="F77" s="337">
        <v>6286.1396110233181</v>
      </c>
      <c r="G77" s="337">
        <v>0</v>
      </c>
      <c r="H77" s="337">
        <v>258.23417945913889</v>
      </c>
      <c r="J77" s="330"/>
      <c r="K77" s="468">
        <v>59</v>
      </c>
      <c r="L77" s="467">
        <v>162.94</v>
      </c>
      <c r="M77" s="468" t="s">
        <v>577</v>
      </c>
      <c r="N77" s="468" t="s">
        <v>578</v>
      </c>
      <c r="O77" s="467">
        <v>0</v>
      </c>
      <c r="P77" s="468" t="s">
        <v>462</v>
      </c>
      <c r="Q77" s="468" t="s">
        <v>419</v>
      </c>
    </row>
    <row r="78" spans="1:17">
      <c r="A78" s="76" t="s">
        <v>293</v>
      </c>
      <c r="B78" s="338">
        <v>60</v>
      </c>
      <c r="C78" s="339">
        <v>258.23417945913889</v>
      </c>
      <c r="D78" s="339">
        <v>245.28576109105788</v>
      </c>
      <c r="E78" s="339">
        <v>12.948418368081002</v>
      </c>
      <c r="F78" s="339">
        <v>6040.8538499322603</v>
      </c>
      <c r="G78" s="339">
        <v>0</v>
      </c>
      <c r="H78" s="339">
        <v>258.23417945913889</v>
      </c>
      <c r="I78" s="339">
        <f>I66</f>
        <v>49706.28</v>
      </c>
      <c r="J78" s="340">
        <v>5134.05</v>
      </c>
      <c r="K78" s="468">
        <v>60</v>
      </c>
      <c r="L78" s="467">
        <v>156.94</v>
      </c>
      <c r="M78" s="468" t="s">
        <v>579</v>
      </c>
      <c r="N78" s="468" t="s">
        <v>580</v>
      </c>
      <c r="O78" s="467">
        <v>0</v>
      </c>
      <c r="P78" s="468" t="s">
        <v>462</v>
      </c>
      <c r="Q78" s="468" t="s">
        <v>419</v>
      </c>
    </row>
    <row r="79" spans="1:17">
      <c r="L79" s="468">
        <v>42</v>
      </c>
      <c r="M79" s="467">
        <v>187.09</v>
      </c>
      <c r="N79" s="468" t="s">
        <v>420</v>
      </c>
      <c r="O79" s="468" t="s">
        <v>421</v>
      </c>
      <c r="P79" s="467">
        <v>0</v>
      </c>
      <c r="Q79" s="468" t="s">
        <v>419</v>
      </c>
    </row>
    <row r="80" spans="1:17">
      <c r="L80" s="468">
        <v>43</v>
      </c>
      <c r="M80" s="467">
        <v>183.04</v>
      </c>
      <c r="N80" s="468" t="s">
        <v>422</v>
      </c>
      <c r="O80" s="468" t="s">
        <v>423</v>
      </c>
      <c r="P80" s="467">
        <v>0</v>
      </c>
      <c r="Q80" s="468" t="s">
        <v>419</v>
      </c>
    </row>
    <row r="81" spans="12:17">
      <c r="L81" s="468">
        <v>44</v>
      </c>
      <c r="M81" s="467">
        <v>178.98</v>
      </c>
      <c r="N81" s="468" t="s">
        <v>424</v>
      </c>
      <c r="O81" s="468" t="s">
        <v>425</v>
      </c>
      <c r="P81" s="467">
        <v>0</v>
      </c>
      <c r="Q81" s="468" t="s">
        <v>419</v>
      </c>
    </row>
    <row r="82" spans="12:17">
      <c r="L82" s="468">
        <v>45</v>
      </c>
      <c r="M82" s="467">
        <v>174.91</v>
      </c>
      <c r="N82" s="468" t="s">
        <v>426</v>
      </c>
      <c r="O82" s="468" t="s">
        <v>427</v>
      </c>
      <c r="P82" s="467">
        <v>0</v>
      </c>
      <c r="Q82" s="468" t="s">
        <v>419</v>
      </c>
    </row>
    <row r="83" spans="12:17">
      <c r="L83" s="468">
        <v>46</v>
      </c>
      <c r="M83" s="467">
        <v>170.82</v>
      </c>
      <c r="N83" s="468" t="s">
        <v>428</v>
      </c>
      <c r="O83" s="468" t="s">
        <v>429</v>
      </c>
      <c r="P83" s="467">
        <v>0</v>
      </c>
      <c r="Q83" s="468" t="s">
        <v>419</v>
      </c>
    </row>
    <row r="84" spans="12:17">
      <c r="L84" s="468">
        <v>47</v>
      </c>
      <c r="M84" s="467">
        <v>166.72</v>
      </c>
      <c r="N84" s="468" t="s">
        <v>430</v>
      </c>
      <c r="O84" s="468" t="s">
        <v>431</v>
      </c>
      <c r="P84" s="467">
        <v>0</v>
      </c>
      <c r="Q84" s="468" t="s">
        <v>419</v>
      </c>
    </row>
    <row r="85" spans="12:17">
      <c r="L85" s="468">
        <v>48</v>
      </c>
      <c r="M85" s="467">
        <v>162.6</v>
      </c>
      <c r="N85" s="468" t="s">
        <v>432</v>
      </c>
      <c r="O85" s="468" t="s">
        <v>433</v>
      </c>
      <c r="P85" s="467">
        <v>0</v>
      </c>
      <c r="Q85" s="468" t="s">
        <v>419</v>
      </c>
    </row>
    <row r="86" spans="12:17">
      <c r="M86" s="469">
        <f>SUM(M74:M85)</f>
        <v>1224.1599999999999</v>
      </c>
    </row>
    <row r="87" spans="12:17">
      <c r="L87" s="468">
        <v>49</v>
      </c>
      <c r="M87" s="467">
        <v>158.47</v>
      </c>
      <c r="N87" s="468" t="s">
        <v>434</v>
      </c>
      <c r="O87" s="468" t="s">
        <v>435</v>
      </c>
      <c r="P87" s="467">
        <v>0</v>
      </c>
      <c r="Q87" s="468" t="s">
        <v>419</v>
      </c>
    </row>
    <row r="88" spans="12:17">
      <c r="L88" s="468">
        <v>50</v>
      </c>
      <c r="M88" s="467">
        <v>154.33000000000001</v>
      </c>
      <c r="N88" s="468" t="s">
        <v>436</v>
      </c>
      <c r="O88" s="468" t="s">
        <v>437</v>
      </c>
      <c r="P88" s="467">
        <v>0</v>
      </c>
      <c r="Q88" s="468" t="s">
        <v>419</v>
      </c>
    </row>
    <row r="89" spans="12:17">
      <c r="L89" s="468">
        <v>51</v>
      </c>
      <c r="M89" s="467">
        <v>150.16999999999999</v>
      </c>
      <c r="N89" s="468" t="s">
        <v>438</v>
      </c>
      <c r="O89" s="468" t="s">
        <v>439</v>
      </c>
      <c r="P89" s="467">
        <v>0</v>
      </c>
      <c r="Q89" s="468" t="s">
        <v>419</v>
      </c>
    </row>
    <row r="90" spans="12:17">
      <c r="L90" s="468">
        <v>52</v>
      </c>
      <c r="M90" s="467">
        <v>146</v>
      </c>
      <c r="N90" s="468" t="s">
        <v>440</v>
      </c>
      <c r="O90" s="468" t="s">
        <v>441</v>
      </c>
      <c r="P90" s="467">
        <v>0</v>
      </c>
      <c r="Q90" s="468" t="s">
        <v>419</v>
      </c>
    </row>
    <row r="91" spans="12:17">
      <c r="L91" s="468">
        <v>53</v>
      </c>
      <c r="M91" s="467">
        <v>141.81</v>
      </c>
      <c r="N91" s="468" t="s">
        <v>442</v>
      </c>
      <c r="O91" s="468" t="s">
        <v>443</v>
      </c>
      <c r="P91" s="467">
        <v>0</v>
      </c>
      <c r="Q91" s="468" t="s">
        <v>419</v>
      </c>
    </row>
    <row r="92" spans="12:17">
      <c r="L92" s="468">
        <v>54</v>
      </c>
      <c r="M92" s="467">
        <v>137.61000000000001</v>
      </c>
      <c r="N92" s="468" t="s">
        <v>444</v>
      </c>
      <c r="O92" s="468" t="s">
        <v>445</v>
      </c>
      <c r="P92" s="467">
        <v>0</v>
      </c>
      <c r="Q92" s="468" t="s">
        <v>419</v>
      </c>
    </row>
    <row r="93" spans="12:17">
      <c r="L93" s="468">
        <v>55</v>
      </c>
      <c r="M93" s="467">
        <v>133.38999999999999</v>
      </c>
      <c r="N93" s="468" t="s">
        <v>446</v>
      </c>
      <c r="O93" s="468" t="s">
        <v>447</v>
      </c>
      <c r="P93" s="467">
        <v>0</v>
      </c>
      <c r="Q93" s="468" t="s">
        <v>419</v>
      </c>
    </row>
    <row r="94" spans="12:17">
      <c r="L94" s="468">
        <v>56</v>
      </c>
      <c r="M94" s="467">
        <v>129.16</v>
      </c>
      <c r="N94" s="468" t="s">
        <v>448</v>
      </c>
      <c r="O94" s="468" t="s">
        <v>449</v>
      </c>
      <c r="P94" s="467">
        <v>0</v>
      </c>
      <c r="Q94" s="468" t="s">
        <v>419</v>
      </c>
    </row>
    <row r="95" spans="12:17">
      <c r="L95" s="468">
        <v>57</v>
      </c>
      <c r="M95" s="467">
        <v>124.92</v>
      </c>
      <c r="N95" s="468" t="s">
        <v>450</v>
      </c>
      <c r="O95" s="468" t="s">
        <v>451</v>
      </c>
      <c r="P95" s="467">
        <v>0</v>
      </c>
      <c r="Q95" s="468" t="s">
        <v>419</v>
      </c>
    </row>
    <row r="96" spans="12:17">
      <c r="L96" s="468">
        <v>58</v>
      </c>
      <c r="M96" s="467">
        <v>120.66</v>
      </c>
      <c r="N96" s="468" t="s">
        <v>452</v>
      </c>
      <c r="O96" s="468" t="s">
        <v>453</v>
      </c>
      <c r="P96" s="467">
        <v>0</v>
      </c>
      <c r="Q96" s="468" t="s">
        <v>419</v>
      </c>
    </row>
    <row r="97" spans="12:17">
      <c r="L97" s="468">
        <v>59</v>
      </c>
      <c r="M97" s="467">
        <v>116.38</v>
      </c>
      <c r="N97" s="468" t="s">
        <v>454</v>
      </c>
      <c r="O97" s="468" t="s">
        <v>455</v>
      </c>
      <c r="P97" s="467">
        <v>0</v>
      </c>
      <c r="Q97" s="468" t="s">
        <v>419</v>
      </c>
    </row>
    <row r="98" spans="12:17">
      <c r="L98" s="468">
        <v>60</v>
      </c>
      <c r="M98" s="467">
        <v>112.1</v>
      </c>
      <c r="N98" s="468" t="s">
        <v>456</v>
      </c>
      <c r="O98" s="468" t="s">
        <v>457</v>
      </c>
      <c r="P98" s="467">
        <v>0</v>
      </c>
      <c r="Q98" s="468" t="s">
        <v>419</v>
      </c>
    </row>
    <row r="99" spans="12:17">
      <c r="M99" s="469">
        <f>SUM(M87:M98)</f>
        <v>1625</v>
      </c>
    </row>
  </sheetData>
  <customSheetViews>
    <customSheetView guid="{B839855F-4AE2-4622-A0C0-EA9798C0F78E}" topLeftCell="A58">
      <selection activeCell="E14" sqref="E14"/>
      <pageMargins left="0.7" right="0.7" top="0.75" bottom="0.75" header="0.3" footer="0.3"/>
    </customSheetView>
  </customSheetViews>
  <mergeCells count="5">
    <mergeCell ref="B1:H2"/>
    <mergeCell ref="G11:I11"/>
    <mergeCell ref="B5:H5"/>
    <mergeCell ref="B4:H4"/>
    <mergeCell ref="B7:H8"/>
  </mergeCells>
  <dataValidations count="2">
    <dataValidation type="date" operator="greaterThanOrEqual" allowBlank="1" showInputMessage="1" showErrorMessage="1" errorTitle="Date" error="Entrez une date valide ultérieure ou égale au 1er janvier 1900." sqref="D14:D15" xr:uid="{00000000-0002-0000-0300-000000000000}">
      <formula1>1</formula1>
    </dataValidation>
    <dataValidation type="whole" allowBlank="1" showInputMessage="1" showErrorMessage="1" errorTitle="Années" error="Entrez un nombre entier d'années compris entre 1 et 30." sqref="D13" xr:uid="{00000000-0002-0000-0300-000001000000}">
      <formula1>1</formula1>
      <formula2>30</formula2>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B1:B5"/>
  <sheetViews>
    <sheetView workbookViewId="0">
      <selection activeCell="B3" sqref="B3:B4"/>
    </sheetView>
  </sheetViews>
  <sheetFormatPr baseColWidth="10" defaultColWidth="11.5546875" defaultRowHeight="14.4"/>
  <cols>
    <col min="2" max="2" width="84.44140625" customWidth="1"/>
  </cols>
  <sheetData>
    <row r="1" spans="2:2">
      <c r="B1" s="732" t="s">
        <v>347</v>
      </c>
    </row>
    <row r="2" spans="2:2">
      <c r="B2" s="732"/>
    </row>
    <row r="3" spans="2:2">
      <c r="B3" s="743" t="s">
        <v>348</v>
      </c>
    </row>
    <row r="4" spans="2:2" ht="49.5" customHeight="1">
      <c r="B4" s="744"/>
    </row>
    <row r="5" spans="2:2" ht="46.8">
      <c r="B5" s="374" t="s">
        <v>277</v>
      </c>
    </row>
  </sheetData>
  <customSheetViews>
    <customSheetView guid="{B839855F-4AE2-4622-A0C0-EA9798C0F78E}">
      <selection activeCell="B5" sqref="B5"/>
      <pageMargins left="0.7" right="0.7" top="0.75" bottom="0.75" header="0.3" footer="0.3"/>
    </customSheetView>
  </customSheetViews>
  <mergeCells count="2">
    <mergeCell ref="B3:B4"/>
    <mergeCell ref="B1:B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rgb="FF00B0F0"/>
  </sheetPr>
  <dimension ref="B1:G18"/>
  <sheetViews>
    <sheetView showGridLines="0" workbookViewId="0">
      <selection activeCell="K18" sqref="K18"/>
    </sheetView>
  </sheetViews>
  <sheetFormatPr baseColWidth="10" defaultColWidth="11.5546875" defaultRowHeight="14.4"/>
  <cols>
    <col min="1" max="1" width="10.88671875" customWidth="1"/>
    <col min="2" max="2" width="22.88671875" customWidth="1"/>
    <col min="3" max="3" width="11.109375" customWidth="1"/>
    <col min="4" max="4" width="10.109375" customWidth="1"/>
    <col min="6" max="6" width="10.5546875" customWidth="1"/>
    <col min="7" max="7" width="10.44140625" customWidth="1"/>
  </cols>
  <sheetData>
    <row r="1" spans="2:7">
      <c r="B1" s="745" t="s">
        <v>353</v>
      </c>
      <c r="C1" s="746"/>
      <c r="D1" s="746"/>
      <c r="E1" s="746"/>
      <c r="F1" s="746"/>
      <c r="G1" s="747"/>
    </row>
    <row r="2" spans="2:7">
      <c r="B2" s="748"/>
      <c r="C2" s="732"/>
      <c r="D2" s="732"/>
      <c r="E2" s="732"/>
      <c r="F2" s="732"/>
      <c r="G2" s="749"/>
    </row>
    <row r="3" spans="2:7" ht="18">
      <c r="B3" s="365"/>
      <c r="C3" s="359"/>
      <c r="D3" s="359"/>
      <c r="E3" s="359"/>
      <c r="F3" s="359"/>
      <c r="G3" s="397"/>
    </row>
    <row r="4" spans="2:7" ht="18.75" customHeight="1">
      <c r="B4" s="750" t="s">
        <v>352</v>
      </c>
      <c r="C4" s="751"/>
      <c r="D4" s="751"/>
      <c r="E4" s="751"/>
      <c r="F4" s="751"/>
      <c r="G4" s="752"/>
    </row>
    <row r="5" spans="2:7">
      <c r="B5" s="753"/>
      <c r="C5" s="754"/>
      <c r="D5" s="754"/>
      <c r="E5" s="754"/>
      <c r="F5" s="754"/>
      <c r="G5" s="755"/>
    </row>
    <row r="6" spans="2:7">
      <c r="B6" s="33"/>
      <c r="G6" s="330"/>
    </row>
    <row r="7" spans="2:7" ht="15.6">
      <c r="B7" s="763" t="s">
        <v>351</v>
      </c>
      <c r="C7" s="764"/>
      <c r="D7" s="765"/>
      <c r="G7" s="330"/>
    </row>
    <row r="8" spans="2:7" ht="16.2" thickBot="1">
      <c r="B8" s="446"/>
      <c r="C8" s="447"/>
      <c r="G8" s="330"/>
    </row>
    <row r="9" spans="2:7" ht="16.2" thickBot="1">
      <c r="B9" s="448" t="s">
        <v>349</v>
      </c>
      <c r="C9" s="375">
        <v>0.1</v>
      </c>
      <c r="G9" s="330"/>
    </row>
    <row r="10" spans="2:7" ht="15.6">
      <c r="B10" s="449" t="s">
        <v>350</v>
      </c>
      <c r="C10" s="450">
        <v>-30171</v>
      </c>
      <c r="G10" s="330"/>
    </row>
    <row r="11" spans="2:7">
      <c r="B11" s="318"/>
      <c r="C11" s="760">
        <v>2022</v>
      </c>
      <c r="D11" s="761">
        <f>+C11+1</f>
        <v>2023</v>
      </c>
      <c r="E11" s="761">
        <f t="shared" ref="E11:G11" si="0">+D11+1</f>
        <v>2024</v>
      </c>
      <c r="F11" s="761">
        <f t="shared" si="0"/>
        <v>2025</v>
      </c>
      <c r="G11" s="761">
        <f t="shared" si="0"/>
        <v>2026</v>
      </c>
    </row>
    <row r="12" spans="2:7" ht="15" thickBot="1">
      <c r="B12" s="319"/>
      <c r="C12" s="760"/>
      <c r="D12" s="762"/>
      <c r="E12" s="762"/>
      <c r="F12" s="762"/>
      <c r="G12" s="762"/>
    </row>
    <row r="13" spans="2:7">
      <c r="B13" s="320" t="s">
        <v>303</v>
      </c>
      <c r="C13" s="315">
        <f>'Plan financier à imprimer'!AQ28</f>
        <v>442912.09750000003</v>
      </c>
      <c r="D13" s="315">
        <f>'Plan financier à imprimer'!AS44</f>
        <v>473781.80249999987</v>
      </c>
      <c r="E13" s="315">
        <f>'Plan financier à imprimer'!AU44</f>
        <v>523361.3481249999</v>
      </c>
      <c r="F13" s="315" t="e">
        <f>'Plan financier à imprimer'!AW44</f>
        <v>#REF!</v>
      </c>
      <c r="G13" s="315" t="e">
        <f>'Plan financier à imprimer'!AY44</f>
        <v>#REF!</v>
      </c>
    </row>
    <row r="14" spans="2:7">
      <c r="B14" s="321" t="s">
        <v>304</v>
      </c>
      <c r="C14" s="314">
        <f>(1+$C$9)^-1</f>
        <v>0.90909090909090906</v>
      </c>
      <c r="D14" s="314">
        <f>(1+$C$9)^-2</f>
        <v>0.82644628099173545</v>
      </c>
      <c r="E14" s="314">
        <f>(1+$C$9)^-3</f>
        <v>0.75131480090157754</v>
      </c>
      <c r="F14" s="314">
        <f>(1+$C$9)^-4</f>
        <v>0.68301345536507052</v>
      </c>
      <c r="G14" s="314">
        <f>(1+$C$9)^-5</f>
        <v>0.62092132305915493</v>
      </c>
    </row>
    <row r="15" spans="2:7" ht="15" thickBot="1">
      <c r="B15" s="322" t="s">
        <v>305</v>
      </c>
      <c r="C15" s="376">
        <f>C13*C14</f>
        <v>402647.36136363639</v>
      </c>
      <c r="D15" s="316">
        <f t="shared" ref="D15:F15" si="1">D13*D14</f>
        <v>391555.20867768582</v>
      </c>
      <c r="E15" s="316">
        <f t="shared" si="1"/>
        <v>393209.1270661155</v>
      </c>
      <c r="F15" s="316" t="e">
        <f t="shared" si="1"/>
        <v>#REF!</v>
      </c>
      <c r="G15" s="316" t="e">
        <f>G13*G14</f>
        <v>#REF!</v>
      </c>
    </row>
    <row r="16" spans="2:7" ht="15" thickBot="1">
      <c r="B16" s="323" t="s">
        <v>306</v>
      </c>
      <c r="C16" s="756" t="e">
        <f>SUM(C15:G15)</f>
        <v>#REF!</v>
      </c>
      <c r="D16" s="757"/>
      <c r="E16" s="757"/>
      <c r="F16" s="757"/>
      <c r="G16" s="757"/>
    </row>
    <row r="17" spans="2:7" ht="15" thickBot="1">
      <c r="B17" s="323" t="s">
        <v>307</v>
      </c>
      <c r="C17" s="756" t="e">
        <f>-30171+NPV(C9,C13:G13)</f>
        <v>#REF!</v>
      </c>
      <c r="D17" s="757"/>
      <c r="E17" s="757"/>
      <c r="F17" s="757"/>
      <c r="G17" s="757"/>
    </row>
    <row r="18" spans="2:7">
      <c r="B18" s="324" t="s">
        <v>308</v>
      </c>
      <c r="C18" s="758" t="e">
        <f>IRR(B10:G15)</f>
        <v>#VALUE!</v>
      </c>
      <c r="D18" s="759"/>
      <c r="E18" s="759"/>
      <c r="F18" s="759"/>
      <c r="G18" s="759"/>
    </row>
  </sheetData>
  <mergeCells count="11">
    <mergeCell ref="B1:G2"/>
    <mergeCell ref="B4:G5"/>
    <mergeCell ref="C17:G17"/>
    <mergeCell ref="C18:G18"/>
    <mergeCell ref="C11:C12"/>
    <mergeCell ref="D11:D12"/>
    <mergeCell ref="E11:E12"/>
    <mergeCell ref="F11:F12"/>
    <mergeCell ref="G11:G12"/>
    <mergeCell ref="C16:G16"/>
    <mergeCell ref="B7:D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dimension ref="B3:G20"/>
  <sheetViews>
    <sheetView showGridLines="0" workbookViewId="0">
      <selection activeCell="I14" sqref="I14"/>
    </sheetView>
  </sheetViews>
  <sheetFormatPr baseColWidth="10" defaultColWidth="11.5546875" defaultRowHeight="14.4"/>
  <cols>
    <col min="2" max="2" width="28.44140625" customWidth="1"/>
    <col min="3" max="3" width="15.88671875" customWidth="1"/>
  </cols>
  <sheetData>
    <row r="3" spans="2:7" ht="15" customHeight="1">
      <c r="B3" s="745" t="s">
        <v>378</v>
      </c>
      <c r="C3" s="746"/>
      <c r="D3" s="746"/>
      <c r="E3" s="746"/>
      <c r="F3" s="747"/>
      <c r="G3" s="18"/>
    </row>
    <row r="4" spans="2:7" ht="15" customHeight="1">
      <c r="B4" s="748"/>
      <c r="C4" s="732"/>
      <c r="D4" s="732"/>
      <c r="E4" s="732"/>
      <c r="F4" s="749"/>
      <c r="G4" s="18"/>
    </row>
    <row r="5" spans="2:7" ht="18">
      <c r="B5" s="365"/>
      <c r="C5" s="359"/>
      <c r="D5" s="359"/>
      <c r="E5" s="359"/>
      <c r="F5" s="397"/>
      <c r="G5" s="359"/>
    </row>
    <row r="6" spans="2:7" ht="18">
      <c r="B6" s="750" t="s">
        <v>381</v>
      </c>
      <c r="C6" s="751"/>
      <c r="D6" s="751"/>
      <c r="E6" s="751"/>
      <c r="F6" s="752"/>
      <c r="G6" s="359"/>
    </row>
    <row r="7" spans="2:7" ht="18">
      <c r="B7" s="753"/>
      <c r="C7" s="754"/>
      <c r="D7" s="754"/>
      <c r="E7" s="754"/>
      <c r="F7" s="755"/>
      <c r="G7" s="359"/>
    </row>
    <row r="8" spans="2:7" ht="18">
      <c r="B8" s="365"/>
      <c r="C8" s="359"/>
      <c r="D8" s="359"/>
      <c r="E8" s="359"/>
      <c r="F8" s="397"/>
      <c r="G8" s="359"/>
    </row>
    <row r="9" spans="2:7" ht="21">
      <c r="B9" s="769" t="s">
        <v>379</v>
      </c>
      <c r="C9" s="770"/>
      <c r="D9" s="771"/>
      <c r="F9" s="330"/>
    </row>
    <row r="10" spans="2:7">
      <c r="B10" s="33"/>
      <c r="D10" s="330"/>
      <c r="F10" s="330"/>
    </row>
    <row r="11" spans="2:7">
      <c r="B11" s="33"/>
      <c r="D11" s="330"/>
      <c r="F11" s="330"/>
    </row>
    <row r="12" spans="2:7">
      <c r="B12" s="326" t="s">
        <v>309</v>
      </c>
      <c r="C12" s="326" t="s">
        <v>376</v>
      </c>
      <c r="D12" s="398">
        <f>'Plan financier à imprimer'!AG47/'Plan financier à imprimer'!Q38</f>
        <v>10.76422931701031</v>
      </c>
      <c r="F12" s="330"/>
    </row>
    <row r="13" spans="2:7">
      <c r="B13" s="399"/>
      <c r="C13" s="451"/>
      <c r="D13" s="452"/>
      <c r="F13" s="330"/>
    </row>
    <row r="14" spans="2:7">
      <c r="B14" s="399"/>
      <c r="C14" s="451"/>
      <c r="D14" s="452"/>
      <c r="F14" s="330"/>
    </row>
    <row r="15" spans="2:7" ht="21">
      <c r="B15" s="766" t="s">
        <v>380</v>
      </c>
      <c r="C15" s="767"/>
      <c r="D15" s="768"/>
      <c r="F15" s="330"/>
    </row>
    <row r="16" spans="2:7">
      <c r="B16" s="399"/>
      <c r="C16" s="451"/>
      <c r="D16" s="452"/>
      <c r="F16" s="330"/>
    </row>
    <row r="17" spans="2:6">
      <c r="B17" s="326" t="s">
        <v>310</v>
      </c>
      <c r="C17" s="326" t="s">
        <v>377</v>
      </c>
      <c r="D17" s="398">
        <f>'Plan financier à imprimer'!AQ23/'Plan financier à imprimer'!Q32</f>
        <v>1.6693585202676113</v>
      </c>
      <c r="F17" s="330"/>
    </row>
    <row r="18" spans="2:6">
      <c r="B18" s="33"/>
      <c r="F18" s="330"/>
    </row>
    <row r="19" spans="2:6">
      <c r="B19" s="33"/>
      <c r="F19" s="330"/>
    </row>
    <row r="20" spans="2:6">
      <c r="B20" s="76"/>
      <c r="C20" s="34"/>
      <c r="D20" s="34"/>
      <c r="E20" s="34"/>
      <c r="F20" s="331"/>
    </row>
  </sheetData>
  <mergeCells count="4">
    <mergeCell ref="B15:D15"/>
    <mergeCell ref="B9:D9"/>
    <mergeCell ref="B6:F7"/>
    <mergeCell ref="B3: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11</vt:i4>
      </vt:variant>
      <vt:variant>
        <vt:lpstr>Plages nommées</vt:lpstr>
      </vt:variant>
      <vt:variant>
        <vt:i4>8</vt:i4>
      </vt:variant>
    </vt:vector>
  </HeadingPairs>
  <TitlesOfParts>
    <vt:vector size="19" baseType="lpstr">
      <vt:lpstr>Guide d'utilisation</vt:lpstr>
      <vt:lpstr>Données à saisir</vt:lpstr>
      <vt:lpstr>Plan financier à imprimer</vt:lpstr>
      <vt:lpstr>Amortissement des immos</vt:lpstr>
      <vt:lpstr>Chiffres d'affaires </vt:lpstr>
      <vt:lpstr>Achats consommés </vt:lpstr>
      <vt:lpstr>Charges de personnel </vt:lpstr>
      <vt:lpstr>Amortissement de prêt </vt:lpstr>
      <vt:lpstr>Impots et taxes </vt:lpstr>
      <vt:lpstr>VAN</vt:lpstr>
      <vt:lpstr>indicateurs </vt:lpstr>
      <vt:lpstr>'Achats consommés '!Zone_d_impression</vt:lpstr>
      <vt:lpstr>'Amortissement des immos'!Zone_d_impression</vt:lpstr>
      <vt:lpstr>'Charges de personnel '!Zone_d_impression</vt:lpstr>
      <vt:lpstr>'Chiffres d''affaires '!Zone_d_impression</vt:lpstr>
      <vt:lpstr>'Guide d''utilisation'!Zone_d_impression</vt:lpstr>
      <vt:lpstr>'Impots et taxes '!Zone_d_impression</vt:lpstr>
      <vt:lpstr>'Plan financier à imprimer'!Zone_d_impression</vt:lpstr>
      <vt:lpstr>VAN!Zone_d_impression</vt:lpstr>
    </vt:vector>
  </TitlesOfParts>
  <Company>TIPSO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Younes</dc:creator>
  <cp:lastModifiedBy>younes amir</cp:lastModifiedBy>
  <cp:lastPrinted>2025-01-09T11:56:42Z</cp:lastPrinted>
  <dcterms:created xsi:type="dcterms:W3CDTF">2016-07-10T11:43:10Z</dcterms:created>
  <dcterms:modified xsi:type="dcterms:W3CDTF">2025-01-14T13:18:07Z</dcterms:modified>
</cp:coreProperties>
</file>